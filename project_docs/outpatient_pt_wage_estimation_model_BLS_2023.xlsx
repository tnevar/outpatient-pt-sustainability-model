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marke\Desktop\Tom Data Analytics Work\CMS Project\cms_pt_reimbursement_project\data\"/>
    </mc:Choice>
  </mc:AlternateContent>
  <xr:revisionPtr revIDLastSave="0" documentId="13_ncr:1_{CB8281AC-1DDD-4BD0-9B45-225B9BB1B8C6}" xr6:coauthVersionLast="47" xr6:coauthVersionMax="47" xr10:uidLastSave="{00000000-0000-0000-0000-000000000000}"/>
  <bookViews>
    <workbookView xWindow="-120" yWindow="-120" windowWidth="20730" windowHeight="11040" firstSheet="1" activeTab="1" xr2:uid="{FE9586CA-7D04-44CD-A935-6E53828E18FC}"/>
  </bookViews>
  <sheets>
    <sheet name="National Outpatient (Raw)" sheetId="1" r:id="rId1"/>
    <sheet name="Calculations &amp; Methodology" sheetId="4" r:id="rId2"/>
    <sheet name="State PT Wages - Cleaned" sheetId="5" r:id="rId3"/>
    <sheet name="State_Lookup_Key" sheetId="6" r:id="rId4"/>
    <sheet name="National All-Industry (Raw)" sheetId="2" r:id="rId5"/>
    <sheet name="State PT Wages (Raw)"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 i="5" l="1"/>
  <c r="A54"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2"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L55" i="3"/>
  <c r="M55" i="3"/>
  <c r="N55" i="3"/>
  <c r="O55" i="3"/>
  <c r="R55" i="3"/>
  <c r="S55" i="3"/>
  <c r="T55" i="3"/>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2" i="3"/>
  <c r="D16" i="4"/>
  <c r="D14" i="4"/>
  <c r="D12" i="4"/>
  <c r="C8" i="4"/>
  <c r="C4" i="4"/>
</calcChain>
</file>

<file path=xl/sharedStrings.xml><?xml version="1.0" encoding="utf-8"?>
<sst xmlns="http://schemas.openxmlformats.org/spreadsheetml/2006/main" count="989" uniqueCount="224">
  <si>
    <t>AREA</t>
  </si>
  <si>
    <t>AREA_TITLE</t>
  </si>
  <si>
    <t>AREA_TYPE</t>
  </si>
  <si>
    <t>PRIM_STATE</t>
  </si>
  <si>
    <t>NAICS</t>
  </si>
  <si>
    <t>NAICS_TITLE</t>
  </si>
  <si>
    <t>I_GROUP</t>
  </si>
  <si>
    <t>OWN_CODE</t>
  </si>
  <si>
    <t>OCC_CODE</t>
  </si>
  <si>
    <t>OCC_TITLE</t>
  </si>
  <si>
    <t>O_GROUP</t>
  </si>
  <si>
    <t>TOT_EMP</t>
  </si>
  <si>
    <t>EMP_PRSE</t>
  </si>
  <si>
    <t>JOBS_1000</t>
  </si>
  <si>
    <t>LOC_QUOTIENT</t>
  </si>
  <si>
    <t>PCT_TOTAL</t>
  </si>
  <si>
    <t>PCT_RPT</t>
  </si>
  <si>
    <t>H_MEAN</t>
  </si>
  <si>
    <t>A_MEAN</t>
  </si>
  <si>
    <t>MEAN_PRSE</t>
  </si>
  <si>
    <t>H_PCT10</t>
  </si>
  <si>
    <t>H_PCT25</t>
  </si>
  <si>
    <t>H_MEDIAN</t>
  </si>
  <si>
    <t>H_PCT75</t>
  </si>
  <si>
    <t>H_PCT90</t>
  </si>
  <si>
    <t>A_PCT10</t>
  </si>
  <si>
    <t>A_PCT25</t>
  </si>
  <si>
    <t>A_MEDIAN</t>
  </si>
  <si>
    <t>A_PCT75</t>
  </si>
  <si>
    <t>A_PCT90</t>
  </si>
  <si>
    <t>ANNUAL</t>
  </si>
  <si>
    <t>HOURLY</t>
  </si>
  <si>
    <t>01</t>
  </si>
  <si>
    <t>Alabama</t>
  </si>
  <si>
    <t>2</t>
  </si>
  <si>
    <t>AL</t>
  </si>
  <si>
    <t>000000</t>
  </si>
  <si>
    <t>Cross-industry</t>
  </si>
  <si>
    <t>cross-industry</t>
  </si>
  <si>
    <t>1235</t>
  </si>
  <si>
    <t>29-1123</t>
  </si>
  <si>
    <t>Physical Therapists</t>
  </si>
  <si>
    <t>detailed</t>
  </si>
  <si>
    <t/>
  </si>
  <si>
    <t>02</t>
  </si>
  <si>
    <t>Alaska</t>
  </si>
  <si>
    <t>AK</t>
  </si>
  <si>
    <t>04</t>
  </si>
  <si>
    <t>Arizona</t>
  </si>
  <si>
    <t>AZ</t>
  </si>
  <si>
    <t>05</t>
  </si>
  <si>
    <t>Arkansas</t>
  </si>
  <si>
    <t>AR</t>
  </si>
  <si>
    <t>06</t>
  </si>
  <si>
    <t>California</t>
  </si>
  <si>
    <t>CA</t>
  </si>
  <si>
    <t>08</t>
  </si>
  <si>
    <t>Colorado</t>
  </si>
  <si>
    <t>CO</t>
  </si>
  <si>
    <t>09</t>
  </si>
  <si>
    <t>Connecticut</t>
  </si>
  <si>
    <t>CT</t>
  </si>
  <si>
    <t>10</t>
  </si>
  <si>
    <t>Delaware</t>
  </si>
  <si>
    <t>DE</t>
  </si>
  <si>
    <t>11</t>
  </si>
  <si>
    <t>District of Columbia</t>
  </si>
  <si>
    <t>DC</t>
  </si>
  <si>
    <t>12</t>
  </si>
  <si>
    <t>Florida</t>
  </si>
  <si>
    <t>FL</t>
  </si>
  <si>
    <t>13</t>
  </si>
  <si>
    <t>Georgia</t>
  </si>
  <si>
    <t>GA</t>
  </si>
  <si>
    <t>15</t>
  </si>
  <si>
    <t>Hawaii</t>
  </si>
  <si>
    <t>HI</t>
  </si>
  <si>
    <t>16</t>
  </si>
  <si>
    <t>Idaho</t>
  </si>
  <si>
    <t>ID</t>
  </si>
  <si>
    <t>17</t>
  </si>
  <si>
    <t>Illinois</t>
  </si>
  <si>
    <t>IL</t>
  </si>
  <si>
    <t>18</t>
  </si>
  <si>
    <t>Indiana</t>
  </si>
  <si>
    <t>IN</t>
  </si>
  <si>
    <t>19</t>
  </si>
  <si>
    <t>Iowa</t>
  </si>
  <si>
    <t>IA</t>
  </si>
  <si>
    <t>20</t>
  </si>
  <si>
    <t>Kansas</t>
  </si>
  <si>
    <t>KS</t>
  </si>
  <si>
    <t>21</t>
  </si>
  <si>
    <t>Kentucky</t>
  </si>
  <si>
    <t>KY</t>
  </si>
  <si>
    <t>22</t>
  </si>
  <si>
    <t>Louisiana</t>
  </si>
  <si>
    <t>LA</t>
  </si>
  <si>
    <t>23</t>
  </si>
  <si>
    <t>Maine</t>
  </si>
  <si>
    <t>ME</t>
  </si>
  <si>
    <t>24</t>
  </si>
  <si>
    <t>Maryland</t>
  </si>
  <si>
    <t>MD</t>
  </si>
  <si>
    <t>25</t>
  </si>
  <si>
    <t>Massachusetts</t>
  </si>
  <si>
    <t>MA</t>
  </si>
  <si>
    <t>26</t>
  </si>
  <si>
    <t>Michigan</t>
  </si>
  <si>
    <t>MI</t>
  </si>
  <si>
    <t>27</t>
  </si>
  <si>
    <t>Minnesota</t>
  </si>
  <si>
    <t>MN</t>
  </si>
  <si>
    <t>28</t>
  </si>
  <si>
    <t>Mississippi</t>
  </si>
  <si>
    <t>MS</t>
  </si>
  <si>
    <t>29</t>
  </si>
  <si>
    <t>Missouri</t>
  </si>
  <si>
    <t>MO</t>
  </si>
  <si>
    <t>30</t>
  </si>
  <si>
    <t>Montana</t>
  </si>
  <si>
    <t>MT</t>
  </si>
  <si>
    <t>31</t>
  </si>
  <si>
    <t>Nebraska</t>
  </si>
  <si>
    <t>NE</t>
  </si>
  <si>
    <t>32</t>
  </si>
  <si>
    <t>Nevada</t>
  </si>
  <si>
    <t>NV</t>
  </si>
  <si>
    <t>33</t>
  </si>
  <si>
    <t>New Hampshire</t>
  </si>
  <si>
    <t>NH</t>
  </si>
  <si>
    <t>34</t>
  </si>
  <si>
    <t>New Jersey</t>
  </si>
  <si>
    <t>NJ</t>
  </si>
  <si>
    <t>35</t>
  </si>
  <si>
    <t>New Mexico</t>
  </si>
  <si>
    <t>NM</t>
  </si>
  <si>
    <t>36</t>
  </si>
  <si>
    <t>New York</t>
  </si>
  <si>
    <t>NY</t>
  </si>
  <si>
    <t>37</t>
  </si>
  <si>
    <t>North Carolina</t>
  </si>
  <si>
    <t>NC</t>
  </si>
  <si>
    <t>38</t>
  </si>
  <si>
    <t>North Dakota</t>
  </si>
  <si>
    <t>ND</t>
  </si>
  <si>
    <t>39</t>
  </si>
  <si>
    <t>Ohio</t>
  </si>
  <si>
    <t>OH</t>
  </si>
  <si>
    <t>40</t>
  </si>
  <si>
    <t>Oklahoma</t>
  </si>
  <si>
    <t>OK</t>
  </si>
  <si>
    <t>41</t>
  </si>
  <si>
    <t>Oregon</t>
  </si>
  <si>
    <t>OR</t>
  </si>
  <si>
    <t>42</t>
  </si>
  <si>
    <t>Pennsylvania</t>
  </si>
  <si>
    <t>PA</t>
  </si>
  <si>
    <t>44</t>
  </si>
  <si>
    <t>Rhode Island</t>
  </si>
  <si>
    <t>RI</t>
  </si>
  <si>
    <t>45</t>
  </si>
  <si>
    <t>South Carolina</t>
  </si>
  <si>
    <t>SC</t>
  </si>
  <si>
    <t>46</t>
  </si>
  <si>
    <t>South Dakota</t>
  </si>
  <si>
    <t>SD</t>
  </si>
  <si>
    <t>47</t>
  </si>
  <si>
    <t>Tennessee</t>
  </si>
  <si>
    <t>TN</t>
  </si>
  <si>
    <t>48</t>
  </si>
  <si>
    <t>Texas</t>
  </si>
  <si>
    <t>TX</t>
  </si>
  <si>
    <t>49</t>
  </si>
  <si>
    <t>Utah</t>
  </si>
  <si>
    <t>UT</t>
  </si>
  <si>
    <t>50</t>
  </si>
  <si>
    <t>Vermont</t>
  </si>
  <si>
    <t>VT</t>
  </si>
  <si>
    <t>51</t>
  </si>
  <si>
    <t>Virginia</t>
  </si>
  <si>
    <t>VA</t>
  </si>
  <si>
    <t>53</t>
  </si>
  <si>
    <t>Washington</t>
  </si>
  <si>
    <t>WA</t>
  </si>
  <si>
    <t>54</t>
  </si>
  <si>
    <t>West Virginia</t>
  </si>
  <si>
    <t>WV</t>
  </si>
  <si>
    <t>55</t>
  </si>
  <si>
    <t>Wisconsin</t>
  </si>
  <si>
    <t>WI</t>
  </si>
  <si>
    <t>56</t>
  </si>
  <si>
    <t>Wyoming</t>
  </si>
  <si>
    <t>WY</t>
  </si>
  <si>
    <t>72</t>
  </si>
  <si>
    <t>Puerto Rico</t>
  </si>
  <si>
    <t>3</t>
  </si>
  <si>
    <t>PR</t>
  </si>
  <si>
    <t>78</t>
  </si>
  <si>
    <t>Virgin Islands</t>
  </si>
  <si>
    <t>VI</t>
  </si>
  <si>
    <t>99</t>
  </si>
  <si>
    <t>U.S.</t>
  </si>
  <si>
    <t>1</t>
  </si>
  <si>
    <t>US</t>
  </si>
  <si>
    <t>621300</t>
  </si>
  <si>
    <t>Offices of Other Health Practitioners</t>
  </si>
  <si>
    <t>4-digit</t>
  </si>
  <si>
    <t>5</t>
  </si>
  <si>
    <t>National Outpatient PT Wage</t>
  </si>
  <si>
    <t xml:space="preserve">Value </t>
  </si>
  <si>
    <t>Source : BLS OEWS, NATIONAL INDUSTRY File (NAICS 6213)</t>
  </si>
  <si>
    <t xml:space="preserve">National PT Wage (All Industries) </t>
  </si>
  <si>
    <t>Source : BLS OEWS, National File</t>
  </si>
  <si>
    <t xml:space="preserve">Adjustment Factor Formula </t>
  </si>
  <si>
    <t>Divided By</t>
  </si>
  <si>
    <t>AdjFactor is</t>
  </si>
  <si>
    <t xml:space="preserve">Result </t>
  </si>
  <si>
    <t>Estimated Outpatient PT Wage</t>
  </si>
  <si>
    <t>State</t>
  </si>
  <si>
    <t>State_abbrev</t>
  </si>
  <si>
    <t>state_abbrev</t>
  </si>
  <si>
    <t>state_name</t>
  </si>
  <si>
    <t>Outpatient PT wages are not published by state in the BLS OEWS dataset. To estimate outpatient wages at the state level, the national ratio of outpatient PT wages to overall PT wages (0.922143) is applied to each state’s all‑industry PT wage. This produces a consistent, data‑driven estimate of outpatient PT wages across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</si>
</sst>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style="thin">
        <color theme="4" tint="0.39997558519241921"/>
      </left>
      <right/>
      <top/>
      <bottom/>
      <diagonal/>
    </border>
  </borders>
  <cellStyleXfs count="1">
    <xf numFmtId="0" fontId="0" fillId="0" borderId="0"/>
  </cellStyleXfs>
  <cellXfs count="32">
    <xf numFmtId="0" fontId="0" fillId="0" borderId="0" xfId="0"/>
    <xf numFmtId="0" fontId="0" fillId="0" borderId="0" xfId="0" applyAlignment="1">
      <alignment horizontal="center"/>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4" fontId="0" fillId="0" borderId="0" xfId="0" applyNumberFormat="1" applyAlignment="1">
      <alignment horizontal="right"/>
    </xf>
    <xf numFmtId="3" fontId="0" fillId="0" borderId="0" xfId="0" applyNumberFormat="1"/>
    <xf numFmtId="164" fontId="0" fillId="0" borderId="0" xfId="0" applyNumberFormat="1"/>
    <xf numFmtId="165" fontId="0" fillId="0" borderId="0" xfId="0" applyNumberFormat="1"/>
    <xf numFmtId="2" fontId="0" fillId="0" borderId="0" xfId="0" applyNumberFormat="1"/>
    <xf numFmtId="4" fontId="0" fillId="0" borderId="0" xfId="0" applyNumberFormat="1"/>
    <xf numFmtId="0" fontId="0" fillId="3" borderId="1" xfId="0" applyFill="1" applyBorder="1"/>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3" borderId="3" xfId="0" applyFill="1" applyBorder="1"/>
    <xf numFmtId="2" fontId="0" fillId="3" borderId="4" xfId="0" applyNumberFormat="1" applyFill="1" applyBorder="1" applyAlignment="1">
      <alignment horizontal="right"/>
    </xf>
    <xf numFmtId="4" fontId="0" fillId="3" borderId="4" xfId="0" applyNumberFormat="1" applyFill="1" applyBorder="1" applyAlignment="1">
      <alignment horizontal="right"/>
    </xf>
    <xf numFmtId="0" fontId="0" fillId="0" borderId="3" xfId="0" applyBorder="1"/>
    <xf numFmtId="2" fontId="0" fillId="0" borderId="4" xfId="0" applyNumberFormat="1" applyBorder="1" applyAlignment="1">
      <alignment horizontal="right"/>
    </xf>
    <xf numFmtId="4" fontId="0" fillId="0" borderId="4" xfId="0" applyNumberFormat="1" applyBorder="1" applyAlignment="1">
      <alignment horizontal="right"/>
    </xf>
    <xf numFmtId="2" fontId="0" fillId="3" borderId="2" xfId="0" applyNumberFormat="1" applyFill="1" applyBorder="1" applyAlignment="1">
      <alignment horizontal="right"/>
    </xf>
    <xf numFmtId="4" fontId="0" fillId="3" borderId="2" xfId="0" applyNumberFormat="1" applyFill="1" applyBorder="1" applyAlignment="1">
      <alignment horizontal="right"/>
    </xf>
    <xf numFmtId="3" fontId="0" fillId="3" borderId="4" xfId="0" applyNumberFormat="1" applyFill="1" applyBorder="1" applyAlignment="1">
      <alignment horizontal="right"/>
    </xf>
    <xf numFmtId="3" fontId="0" fillId="0" borderId="4" xfId="0" applyNumberFormat="1" applyBorder="1" applyAlignment="1">
      <alignment horizontal="right"/>
    </xf>
    <xf numFmtId="3" fontId="0" fillId="3" borderId="2" xfId="0" applyNumberFormat="1" applyFill="1" applyBorder="1" applyAlignment="1">
      <alignment horizontal="right"/>
    </xf>
    <xf numFmtId="0" fontId="0" fillId="3" borderId="5" xfId="0" applyFill="1" applyBorder="1"/>
    <xf numFmtId="0" fontId="0" fillId="0" borderId="5" xfId="0" applyBorder="1"/>
    <xf numFmtId="0" fontId="1" fillId="2" borderId="6" xfId="0" applyFont="1" applyFill="1" applyBorder="1"/>
    <xf numFmtId="0" fontId="1" fillId="2" borderId="7" xfId="0" applyFont="1" applyFill="1" applyBorder="1"/>
    <xf numFmtId="0" fontId="0" fillId="0" borderId="0" xfId="0" applyAlignment="1">
      <alignment horizontal="center"/>
    </xf>
  </cellXfs>
  <cellStyles count="1">
    <cellStyle name="Normal" xfId="0" builtinId="0"/>
  </cellStyles>
  <dxfs count="11">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font>
        <b val="0"/>
        <i val="0"/>
        <strike val="0"/>
        <condense val="0"/>
        <extend val="0"/>
        <outline val="0"/>
        <shadow val="0"/>
        <u val="none"/>
        <vertAlign val="baseline"/>
        <sz val="11"/>
        <color theme="1"/>
        <name val="Calibri"/>
        <family val="2"/>
        <scheme val="minor"/>
      </font>
      <numFmt numFmtId="3" formatCode="#,##0"/>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4" formatCode="#,##0.00"/>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border outline="0">
        <right style="thin">
          <color theme="4" tint="0.39997558519241921"/>
        </right>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732882-F9EB-4DA0-BC01-A51674E82DC4}" name="Table6" displayName="Table6" ref="A1:E54" totalsRowShown="0" headerRowDxfId="10" dataDxfId="9" tableBorderDxfId="8">
  <autoFilter ref="A1:E54" xr:uid="{D1732882-F9EB-4DA0-BC01-A51674E82DC4}"/>
  <tableColumns count="5">
    <tableColumn id="1" xr3:uid="{48E5952A-9062-491C-A653-0E476563C499}" name="State_abbrev">
      <calculatedColumnFormula>VLOOKUP('State PT Wages - Cleaned'!$B2, State_Lookup_Key!A:B, 2, FALSE)</calculatedColumnFormula>
    </tableColumn>
    <tableColumn id="2" xr3:uid="{50D3A5E4-FDD5-4090-AED0-DC6065A7D1AA}" name="State" dataDxfId="7"/>
    <tableColumn id="3" xr3:uid="{01A4EE01-3249-45E1-9866-A902E7ADFDE3}" name="H_MEAN" dataDxfId="6"/>
    <tableColumn id="4" xr3:uid="{9C343F90-A6A3-4DDC-B5D7-C3E5CC78A957}" name="Estimated Outpatient PT Wage" dataDxfId="5">
      <calculatedColumnFormula>E2*'Calculations &amp; Methodology'!D$16</calculatedColumnFormula>
    </tableColumn>
    <tableColumn id="5" xr3:uid="{2BBF7219-A662-4618-96A8-1233E967257A}" name="A_MEAN"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2051057-F427-4298-9F66-BAAE4B0CBCB8}" name="Table7" displayName="Table7" ref="A1:B54" totalsRowShown="0" headerRowDxfId="3" tableBorderDxfId="2">
  <autoFilter ref="A1:B54" xr:uid="{62051057-F427-4298-9F66-BAAE4B0CBCB8}"/>
  <tableColumns count="2">
    <tableColumn id="1" xr3:uid="{5ED9E93F-D71D-45FA-9556-0990B11A17B1}" name="state_name" dataDxfId="1"/>
    <tableColumn id="2" xr3:uid="{5A505843-9C81-4B96-9BFB-47EDE16E983C}" name="state_abbrev"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66E7-9818-4738-9621-EF8842E8B9EC}">
  <dimension ref="A1:AF2"/>
  <sheetViews>
    <sheetView topLeftCell="M1" workbookViewId="0">
      <selection activeCell="D7" sqref="D7"/>
    </sheetView>
  </sheetViews>
  <sheetFormatPr defaultRowHeight="15" x14ac:dyDescent="0.25"/>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201</v>
      </c>
      <c r="B2" t="s">
        <v>202</v>
      </c>
      <c r="C2" s="1" t="s">
        <v>203</v>
      </c>
      <c r="D2" s="1" t="s">
        <v>204</v>
      </c>
      <c r="E2" t="s">
        <v>205</v>
      </c>
      <c r="F2" t="s">
        <v>206</v>
      </c>
      <c r="G2" t="s">
        <v>207</v>
      </c>
      <c r="H2" s="1" t="s">
        <v>208</v>
      </c>
      <c r="I2" s="1" t="s">
        <v>40</v>
      </c>
      <c r="J2" t="s">
        <v>41</v>
      </c>
      <c r="K2" s="1" t="s">
        <v>42</v>
      </c>
      <c r="L2" s="2">
        <v>89680</v>
      </c>
      <c r="M2" s="3">
        <v>1.7</v>
      </c>
      <c r="N2" s="4"/>
      <c r="O2" s="5"/>
      <c r="P2" s="5">
        <v>7.86</v>
      </c>
      <c r="Q2" s="6">
        <v>20</v>
      </c>
      <c r="R2" s="5">
        <v>44.53</v>
      </c>
      <c r="S2" s="2">
        <v>92620</v>
      </c>
      <c r="T2" s="3">
        <v>1.4</v>
      </c>
      <c r="U2" s="5">
        <v>30.66</v>
      </c>
      <c r="V2" s="5">
        <v>37.450000000000003</v>
      </c>
      <c r="W2" s="5">
        <v>44.72</v>
      </c>
      <c r="X2" s="5">
        <v>49.38</v>
      </c>
      <c r="Y2" s="5">
        <v>60.08</v>
      </c>
      <c r="Z2" s="2">
        <v>63770</v>
      </c>
      <c r="AA2" s="2">
        <v>77900</v>
      </c>
      <c r="AB2" s="2">
        <v>93010</v>
      </c>
      <c r="AC2" s="2">
        <v>102710</v>
      </c>
      <c r="AD2" s="2">
        <v>124970</v>
      </c>
      <c r="AE2" s="1" t="s">
        <v>43</v>
      </c>
      <c r="AF2" s="1"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2F13-325E-4083-A145-0AA8FCBCE593}">
  <dimension ref="B3:F18"/>
  <sheetViews>
    <sheetView tabSelected="1" workbookViewId="0">
      <selection activeCell="B18" sqref="B18"/>
    </sheetView>
  </sheetViews>
  <sheetFormatPr defaultRowHeight="15" x14ac:dyDescent="0.25"/>
  <sheetData>
    <row r="3" spans="2:6" x14ac:dyDescent="0.25">
      <c r="B3" t="s">
        <v>209</v>
      </c>
    </row>
    <row r="4" spans="2:6" x14ac:dyDescent="0.25">
      <c r="B4" t="s">
        <v>210</v>
      </c>
      <c r="C4" s="8">
        <f>'National Outpatient (Raw)'!S2</f>
        <v>92620</v>
      </c>
    </row>
    <row r="5" spans="2:6" x14ac:dyDescent="0.25">
      <c r="B5" t="s">
        <v>211</v>
      </c>
    </row>
    <row r="7" spans="2:6" x14ac:dyDescent="0.25">
      <c r="B7" t="s">
        <v>212</v>
      </c>
    </row>
    <row r="8" spans="2:6" x14ac:dyDescent="0.25">
      <c r="B8" t="s">
        <v>210</v>
      </c>
      <c r="C8" s="8">
        <f>'National All-Industry (Raw)'!S2</f>
        <v>100440</v>
      </c>
    </row>
    <row r="9" spans="2:6" x14ac:dyDescent="0.25">
      <c r="B9" t="s">
        <v>213</v>
      </c>
    </row>
    <row r="11" spans="2:6" x14ac:dyDescent="0.25">
      <c r="B11" t="s">
        <v>214</v>
      </c>
    </row>
    <row r="12" spans="2:6" x14ac:dyDescent="0.25">
      <c r="C12" t="s">
        <v>216</v>
      </c>
      <c r="D12" t="str">
        <f>B3</f>
        <v>National Outpatient PT Wage</v>
      </c>
    </row>
    <row r="13" spans="2:6" x14ac:dyDescent="0.25">
      <c r="D13" s="31" t="s">
        <v>215</v>
      </c>
      <c r="E13" s="31"/>
      <c r="F13" s="31"/>
    </row>
    <row r="14" spans="2:6" x14ac:dyDescent="0.25">
      <c r="D14" t="str">
        <f>B7</f>
        <v xml:space="preserve">National PT Wage (All Industries) </v>
      </c>
    </row>
    <row r="16" spans="2:6" x14ac:dyDescent="0.25">
      <c r="C16" t="s">
        <v>217</v>
      </c>
      <c r="D16">
        <f>C4/C8</f>
        <v>0.92214257268020705</v>
      </c>
    </row>
    <row r="18" spans="2:2" x14ac:dyDescent="0.25">
      <c r="B18" t="s">
        <v>223</v>
      </c>
    </row>
  </sheetData>
  <mergeCells count="1">
    <mergeCell ref="D13:F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BCE57-647D-4CDD-9AE0-E8B1CE9A49A2}">
  <dimension ref="A1:E55"/>
  <sheetViews>
    <sheetView zoomScaleNormal="100" workbookViewId="0">
      <pane ySplit="1" topLeftCell="A2" activePane="bottomLeft" state="frozen"/>
      <selection pane="bottomLeft" activeCell="D2" sqref="D2"/>
    </sheetView>
  </sheetViews>
  <sheetFormatPr defaultRowHeight="15" x14ac:dyDescent="0.25"/>
  <cols>
    <col min="1" max="1" width="14.85546875" customWidth="1"/>
    <col min="3" max="3" width="11" customWidth="1"/>
    <col min="4" max="4" width="30.28515625" customWidth="1"/>
    <col min="5" max="5" width="11" customWidth="1"/>
  </cols>
  <sheetData>
    <row r="1" spans="1:5" x14ac:dyDescent="0.25">
      <c r="A1" t="s">
        <v>220</v>
      </c>
      <c r="B1" s="14" t="s">
        <v>219</v>
      </c>
      <c r="C1" s="15" t="s">
        <v>17</v>
      </c>
      <c r="D1" s="15" t="s">
        <v>218</v>
      </c>
      <c r="E1" s="15" t="s">
        <v>18</v>
      </c>
    </row>
    <row r="2" spans="1:5" x14ac:dyDescent="0.25">
      <c r="A2" t="str">
        <f>VLOOKUP('State PT Wages - Cleaned'!$B2, State_Lookup_Key!A:B, 2, FALSE)</f>
        <v>AL</v>
      </c>
      <c r="B2" s="16" t="s">
        <v>33</v>
      </c>
      <c r="C2" s="17">
        <v>46.61</v>
      </c>
      <c r="D2" s="18">
        <f>E2*'Calculations &amp; Methodology'!D$16</f>
        <v>89401.722421346072</v>
      </c>
      <c r="E2" s="24">
        <v>96950</v>
      </c>
    </row>
    <row r="3" spans="1:5" x14ac:dyDescent="0.25">
      <c r="A3" t="str">
        <f>VLOOKUP('State PT Wages - Cleaned'!$B3, State_Lookup_Key!A:B, 2, FALSE)</f>
        <v>AK</v>
      </c>
      <c r="B3" s="19" t="s">
        <v>45</v>
      </c>
      <c r="C3" s="20">
        <v>53.28</v>
      </c>
      <c r="D3" s="21">
        <f>E3*'Calculations &amp; Methodology'!D$16</f>
        <v>102201.06133014735</v>
      </c>
      <c r="E3" s="25">
        <v>110830</v>
      </c>
    </row>
    <row r="4" spans="1:5" x14ac:dyDescent="0.25">
      <c r="A4" t="str">
        <f>VLOOKUP('State PT Wages - Cleaned'!$B4, State_Lookup_Key!A:B, 2, FALSE)</f>
        <v>AZ</v>
      </c>
      <c r="B4" s="16" t="s">
        <v>48</v>
      </c>
      <c r="C4" s="17">
        <v>47.58</v>
      </c>
      <c r="D4" s="18">
        <f>E4*'Calculations &amp; Methodology'!D$16</f>
        <v>91255.228992433287</v>
      </c>
      <c r="E4" s="24">
        <v>98960</v>
      </c>
    </row>
    <row r="5" spans="1:5" x14ac:dyDescent="0.25">
      <c r="A5" t="str">
        <f>VLOOKUP('State PT Wages - Cleaned'!$B5, State_Lookup_Key!A:B, 2, FALSE)</f>
        <v>AR</v>
      </c>
      <c r="B5" s="19" t="s">
        <v>51</v>
      </c>
      <c r="C5" s="20">
        <v>44.36</v>
      </c>
      <c r="D5" s="21">
        <f>E5*'Calculations &amp; Methodology'!D$16</f>
        <v>85086.095181202705</v>
      </c>
      <c r="E5" s="25">
        <v>92270</v>
      </c>
    </row>
    <row r="6" spans="1:5" x14ac:dyDescent="0.25">
      <c r="A6" t="str">
        <f>VLOOKUP('State PT Wages - Cleaned'!$B6, State_Lookup_Key!A:B, 2, FALSE)</f>
        <v>CA</v>
      </c>
      <c r="B6" s="16" t="s">
        <v>54</v>
      </c>
      <c r="C6" s="17">
        <v>54.94</v>
      </c>
      <c r="D6" s="18">
        <f>E6*'Calculations &amp; Methodology'!D$16</f>
        <v>105373.23178016726</v>
      </c>
      <c r="E6" s="24">
        <v>114270</v>
      </c>
    </row>
    <row r="7" spans="1:5" x14ac:dyDescent="0.25">
      <c r="A7" t="str">
        <f>VLOOKUP('State PT Wages - Cleaned'!$B7, State_Lookup_Key!A:B, 2, FALSE)</f>
        <v>CO</v>
      </c>
      <c r="B7" s="19" t="s">
        <v>57</v>
      </c>
      <c r="C7" s="20">
        <v>47.12</v>
      </c>
      <c r="D7" s="21">
        <f>E7*'Calculations &amp; Methodology'!D$16</f>
        <v>90369.972122660285</v>
      </c>
      <c r="E7" s="25">
        <v>98000</v>
      </c>
    </row>
    <row r="8" spans="1:5" x14ac:dyDescent="0.25">
      <c r="A8" t="str">
        <f>VLOOKUP('State PT Wages - Cleaned'!$B8, State_Lookup_Key!A:B, 2, FALSE)</f>
        <v>CT</v>
      </c>
      <c r="B8" s="16" t="s">
        <v>60</v>
      </c>
      <c r="C8" s="17">
        <v>49.94</v>
      </c>
      <c r="D8" s="18">
        <f>E8*'Calculations &amp; Methodology'!D$16</f>
        <v>95782.949024293106</v>
      </c>
      <c r="E8" s="24">
        <v>103870</v>
      </c>
    </row>
    <row r="9" spans="1:5" x14ac:dyDescent="0.25">
      <c r="A9" t="str">
        <f>VLOOKUP('State PT Wages - Cleaned'!$B9, State_Lookup_Key!A:B, 2, FALSE)</f>
        <v>DE</v>
      </c>
      <c r="B9" s="19" t="s">
        <v>63</v>
      </c>
      <c r="C9" s="20">
        <v>50.26</v>
      </c>
      <c r="D9" s="21">
        <f>E9*'Calculations &amp; Methodology'!D$16</f>
        <v>96391.563122262043</v>
      </c>
      <c r="E9" s="25">
        <v>104530</v>
      </c>
    </row>
    <row r="10" spans="1:5" x14ac:dyDescent="0.25">
      <c r="A10" t="str">
        <f>VLOOKUP('State PT Wages - Cleaned'!$B10, State_Lookup_Key!A:B, 2, FALSE)</f>
        <v>DC</v>
      </c>
      <c r="B10" s="16" t="s">
        <v>66</v>
      </c>
      <c r="C10" s="17">
        <v>49.78</v>
      </c>
      <c r="D10" s="18">
        <f>E10*'Calculations &amp; Methodology'!D$16</f>
        <v>95487.863401035444</v>
      </c>
      <c r="E10" s="24">
        <v>103550</v>
      </c>
    </row>
    <row r="11" spans="1:5" x14ac:dyDescent="0.25">
      <c r="A11" t="str">
        <f>VLOOKUP('State PT Wages - Cleaned'!$B11, State_Lookup_Key!A:B, 2, FALSE)</f>
        <v>FL</v>
      </c>
      <c r="B11" s="19" t="s">
        <v>69</v>
      </c>
      <c r="C11" s="20">
        <v>45.6</v>
      </c>
      <c r="D11" s="21">
        <f>E11*'Calculations &amp; Methodology'!D$16</f>
        <v>87465.223018717632</v>
      </c>
      <c r="E11" s="25">
        <v>94850</v>
      </c>
    </row>
    <row r="12" spans="1:5" x14ac:dyDescent="0.25">
      <c r="A12" t="str">
        <f>VLOOKUP('State PT Wages - Cleaned'!$B12, State_Lookup_Key!A:B, 2, FALSE)</f>
        <v>GA</v>
      </c>
      <c r="B12" s="16" t="s">
        <v>72</v>
      </c>
      <c r="C12" s="17">
        <v>48.01</v>
      </c>
      <c r="D12" s="18">
        <f>E12*'Calculations &amp; Methodology'!D$16</f>
        <v>92085.157307845482</v>
      </c>
      <c r="E12" s="24">
        <v>99860</v>
      </c>
    </row>
    <row r="13" spans="1:5" x14ac:dyDescent="0.25">
      <c r="A13" t="str">
        <f>VLOOKUP('State PT Wages - Cleaned'!$B13, State_Lookup_Key!A:B, 2, FALSE)</f>
        <v>HI</v>
      </c>
      <c r="B13" s="19" t="s">
        <v>75</v>
      </c>
      <c r="C13" s="20">
        <v>49.52</v>
      </c>
      <c r="D13" s="21">
        <f>E13*'Calculations &amp; Methodology'!D$16</f>
        <v>94989.906411788135</v>
      </c>
      <c r="E13" s="25">
        <v>103010</v>
      </c>
    </row>
    <row r="14" spans="1:5" x14ac:dyDescent="0.25">
      <c r="A14" t="str">
        <f>VLOOKUP('State PT Wages - Cleaned'!$B14, State_Lookup_Key!A:B, 2, FALSE)</f>
        <v>ID</v>
      </c>
      <c r="B14" s="16" t="s">
        <v>78</v>
      </c>
      <c r="C14" s="17">
        <v>44.42</v>
      </c>
      <c r="D14" s="18">
        <f>E14*'Calculations &amp; Methodology'!D$16</f>
        <v>85205.973715651126</v>
      </c>
      <c r="E14" s="24">
        <v>92400</v>
      </c>
    </row>
    <row r="15" spans="1:5" x14ac:dyDescent="0.25">
      <c r="A15" t="str">
        <f>VLOOKUP('State PT Wages - Cleaned'!$B15, State_Lookup_Key!A:B, 2, FALSE)</f>
        <v>IL</v>
      </c>
      <c r="B15" s="19" t="s">
        <v>81</v>
      </c>
      <c r="C15" s="20">
        <v>50.31</v>
      </c>
      <c r="D15" s="21">
        <f>E15*'Calculations &amp; Methodology'!D$16</f>
        <v>96492.998805256866</v>
      </c>
      <c r="E15" s="25">
        <v>104640</v>
      </c>
    </row>
    <row r="16" spans="1:5" x14ac:dyDescent="0.25">
      <c r="A16" t="str">
        <f>VLOOKUP('State PT Wages - Cleaned'!$B16, State_Lookup_Key!A:B, 2, FALSE)</f>
        <v>IN</v>
      </c>
      <c r="B16" s="16" t="s">
        <v>84</v>
      </c>
      <c r="C16" s="17">
        <v>46.52</v>
      </c>
      <c r="D16" s="18">
        <f>E16*'Calculations &amp; Methodology'!D$16</f>
        <v>89226.51533253683</v>
      </c>
      <c r="E16" s="24">
        <v>96760</v>
      </c>
    </row>
    <row r="17" spans="1:5" x14ac:dyDescent="0.25">
      <c r="A17" t="str">
        <f>VLOOKUP('State PT Wages - Cleaned'!$B17, State_Lookup_Key!A:B, 2, FALSE)</f>
        <v>IA</v>
      </c>
      <c r="B17" s="19" t="s">
        <v>87</v>
      </c>
      <c r="C17" s="20">
        <v>44.16</v>
      </c>
      <c r="D17" s="21">
        <f>E17*'Calculations &amp; Methodology'!D$16</f>
        <v>84698.795300677011</v>
      </c>
      <c r="E17" s="25">
        <v>91850</v>
      </c>
    </row>
    <row r="18" spans="1:5" x14ac:dyDescent="0.25">
      <c r="A18" t="str">
        <f>VLOOKUP('State PT Wages - Cleaned'!$B18, State_Lookup_Key!A:B, 2, FALSE)</f>
        <v>KS</v>
      </c>
      <c r="B18" s="16" t="s">
        <v>90</v>
      </c>
      <c r="C18" s="17">
        <v>45.09</v>
      </c>
      <c r="D18" s="18">
        <f>E18*'Calculations &amp; Methodology'!D$16</f>
        <v>86478.530465949822</v>
      </c>
      <c r="E18" s="24">
        <v>93780</v>
      </c>
    </row>
    <row r="19" spans="1:5" x14ac:dyDescent="0.25">
      <c r="A19" t="str">
        <f>VLOOKUP('State PT Wages - Cleaned'!$B19, State_Lookup_Key!A:B, 2, FALSE)</f>
        <v>KY</v>
      </c>
      <c r="B19" s="19" t="s">
        <v>93</v>
      </c>
      <c r="C19" s="20">
        <v>42.06</v>
      </c>
      <c r="D19" s="21">
        <f>E19*'Calculations &amp; Methodology'!D$16</f>
        <v>80669.032258064515</v>
      </c>
      <c r="E19" s="25">
        <v>87480</v>
      </c>
    </row>
    <row r="20" spans="1:5" x14ac:dyDescent="0.25">
      <c r="A20" t="str">
        <f>VLOOKUP('State PT Wages - Cleaned'!$B20, State_Lookup_Key!A:B, 2, FALSE)</f>
        <v>LA</v>
      </c>
      <c r="B20" s="16" t="s">
        <v>96</v>
      </c>
      <c r="C20" s="17">
        <v>47.04</v>
      </c>
      <c r="D20" s="18">
        <f>E20*'Calculations &amp; Methodology'!D$16</f>
        <v>90213.207885304655</v>
      </c>
      <c r="E20" s="24">
        <v>97830</v>
      </c>
    </row>
    <row r="21" spans="1:5" x14ac:dyDescent="0.25">
      <c r="A21" t="str">
        <f>VLOOKUP('State PT Wages - Cleaned'!$B21, State_Lookup_Key!A:B, 2, FALSE)</f>
        <v>ME</v>
      </c>
      <c r="B21" s="19" t="s">
        <v>99</v>
      </c>
      <c r="C21" s="20">
        <v>44.1</v>
      </c>
      <c r="D21" s="21">
        <f>E21*'Calculations &amp; Methodology'!D$16</f>
        <v>84578.916766228591</v>
      </c>
      <c r="E21" s="25">
        <v>91720</v>
      </c>
    </row>
    <row r="22" spans="1:5" x14ac:dyDescent="0.25">
      <c r="A22" t="str">
        <f>VLOOKUP('State PT Wages - Cleaned'!$B22, State_Lookup_Key!A:B, 2, FALSE)</f>
        <v>MD</v>
      </c>
      <c r="B22" s="16" t="s">
        <v>102</v>
      </c>
      <c r="C22" s="17">
        <v>50.73</v>
      </c>
      <c r="D22" s="18">
        <f>E22*'Calculations &amp; Methodology'!D$16</f>
        <v>97304.484269215449</v>
      </c>
      <c r="E22" s="24">
        <v>105520</v>
      </c>
    </row>
    <row r="23" spans="1:5" x14ac:dyDescent="0.25">
      <c r="A23" t="str">
        <f>VLOOKUP('State PT Wages - Cleaned'!$B23, State_Lookup_Key!A:B, 2, FALSE)</f>
        <v>MA</v>
      </c>
      <c r="B23" s="19" t="s">
        <v>105</v>
      </c>
      <c r="C23" s="20">
        <v>47.93</v>
      </c>
      <c r="D23" s="21">
        <f>E23*'Calculations &amp; Methodology'!D$16</f>
        <v>91937.614496216644</v>
      </c>
      <c r="E23" s="25">
        <v>99700</v>
      </c>
    </row>
    <row r="24" spans="1:5" x14ac:dyDescent="0.25">
      <c r="A24" t="str">
        <f>VLOOKUP('State PT Wages - Cleaned'!$B24, State_Lookup_Key!A:B, 2, FALSE)</f>
        <v>MI</v>
      </c>
      <c r="B24" s="16" t="s">
        <v>108</v>
      </c>
      <c r="C24" s="17">
        <v>45.89</v>
      </c>
      <c r="D24" s="18">
        <f>E24*'Calculations &amp; Methodology'!D$16</f>
        <v>88018.508562325762</v>
      </c>
      <c r="E24" s="24">
        <v>95450</v>
      </c>
    </row>
    <row r="25" spans="1:5" x14ac:dyDescent="0.25">
      <c r="A25" t="str">
        <f>VLOOKUP('State PT Wages - Cleaned'!$B25, State_Lookup_Key!A:B, 2, FALSE)</f>
        <v>MN</v>
      </c>
      <c r="B25" s="19" t="s">
        <v>111</v>
      </c>
      <c r="C25" s="20">
        <v>47.05</v>
      </c>
      <c r="D25" s="21">
        <f>E25*'Calculations &amp; Methodology'!D$16</f>
        <v>90240.872162485059</v>
      </c>
      <c r="E25" s="25">
        <v>97860</v>
      </c>
    </row>
    <row r="26" spans="1:5" x14ac:dyDescent="0.25">
      <c r="A26" t="str">
        <f>VLOOKUP('State PT Wages - Cleaned'!$B26, State_Lookup_Key!A:B, 2, FALSE)</f>
        <v>MS</v>
      </c>
      <c r="B26" s="16" t="s">
        <v>114</v>
      </c>
      <c r="C26" s="17">
        <v>45.79</v>
      </c>
      <c r="D26" s="18">
        <f>E26*'Calculations &amp; Methodology'!D$16</f>
        <v>87815.637196336116</v>
      </c>
      <c r="E26" s="24">
        <v>95230</v>
      </c>
    </row>
    <row r="27" spans="1:5" x14ac:dyDescent="0.25">
      <c r="A27" t="str">
        <f>VLOOKUP('State PT Wages - Cleaned'!$B27, State_Lookup_Key!A:B, 2, FALSE)</f>
        <v>MO</v>
      </c>
      <c r="B27" s="19" t="s">
        <v>117</v>
      </c>
      <c r="C27" s="20">
        <v>43.77</v>
      </c>
      <c r="D27" s="21">
        <f>E27*'Calculations &amp; Methodology'!D$16</f>
        <v>83942.63839107925</v>
      </c>
      <c r="E27" s="25">
        <v>91030</v>
      </c>
    </row>
    <row r="28" spans="1:5" x14ac:dyDescent="0.25">
      <c r="A28" t="str">
        <f>VLOOKUP('State PT Wages - Cleaned'!$B28, State_Lookup_Key!A:B, 2, FALSE)</f>
        <v>MT</v>
      </c>
      <c r="B28" s="16" t="s">
        <v>120</v>
      </c>
      <c r="C28" s="17">
        <v>41.13</v>
      </c>
      <c r="D28" s="18">
        <f>E28*'Calculations &amp; Methodology'!D$16</f>
        <v>78889.297092791719</v>
      </c>
      <c r="E28" s="24">
        <v>85550</v>
      </c>
    </row>
    <row r="29" spans="1:5" x14ac:dyDescent="0.25">
      <c r="A29" t="str">
        <f>VLOOKUP('State PT Wages - Cleaned'!$B29, State_Lookup_Key!A:B, 2, FALSE)</f>
        <v>NE</v>
      </c>
      <c r="B29" s="19" t="s">
        <v>123</v>
      </c>
      <c r="C29" s="20">
        <v>43.69</v>
      </c>
      <c r="D29" s="21">
        <f>E29*'Calculations &amp; Methodology'!D$16</f>
        <v>83795.095579450412</v>
      </c>
      <c r="E29" s="25">
        <v>90870</v>
      </c>
    </row>
    <row r="30" spans="1:5" x14ac:dyDescent="0.25">
      <c r="A30" t="str">
        <f>VLOOKUP('State PT Wages - Cleaned'!$B30, State_Lookup_Key!A:B, 2, FALSE)</f>
        <v>NV</v>
      </c>
      <c r="B30" s="16" t="s">
        <v>126</v>
      </c>
      <c r="C30" s="17">
        <v>53.59</v>
      </c>
      <c r="D30" s="18">
        <f>E30*'Calculations &amp; Methodology'!D$16</f>
        <v>102782.01115093588</v>
      </c>
      <c r="E30" s="24">
        <v>111460</v>
      </c>
    </row>
    <row r="31" spans="1:5" x14ac:dyDescent="0.25">
      <c r="A31" t="str">
        <f>VLOOKUP('State PT Wages - Cleaned'!$B31, State_Lookup_Key!A:B, 2, FALSE)</f>
        <v>NH</v>
      </c>
      <c r="B31" s="19" t="s">
        <v>129</v>
      </c>
      <c r="C31" s="20">
        <v>45.78</v>
      </c>
      <c r="D31" s="21">
        <f>E31*'Calculations &amp; Methodology'!D$16</f>
        <v>87806.41577060931</v>
      </c>
      <c r="E31" s="25">
        <v>95220</v>
      </c>
    </row>
    <row r="32" spans="1:5" x14ac:dyDescent="0.25">
      <c r="A32" t="str">
        <f>VLOOKUP('State PT Wages - Cleaned'!$B32, State_Lookup_Key!A:B, 2, FALSE)</f>
        <v>NJ</v>
      </c>
      <c r="B32" s="16" t="s">
        <v>132</v>
      </c>
      <c r="C32" s="17">
        <v>52.54</v>
      </c>
      <c r="D32" s="18">
        <f>E32*'Calculations &amp; Methodology'!D$16</f>
        <v>100771.74034249302</v>
      </c>
      <c r="E32" s="24">
        <v>109280</v>
      </c>
    </row>
    <row r="33" spans="1:5" x14ac:dyDescent="0.25">
      <c r="A33" t="str">
        <f>VLOOKUP('State PT Wages - Cleaned'!$B33, State_Lookup_Key!A:B, 2, FALSE)</f>
        <v>NM</v>
      </c>
      <c r="B33" s="19" t="s">
        <v>135</v>
      </c>
      <c r="C33" s="20">
        <v>47.26</v>
      </c>
      <c r="D33" s="21">
        <f>E33*'Calculations &amp; Methodology'!D$16</f>
        <v>90637.393468737544</v>
      </c>
      <c r="E33" s="25">
        <v>98290</v>
      </c>
    </row>
    <row r="34" spans="1:5" x14ac:dyDescent="0.25">
      <c r="A34" t="str">
        <f>VLOOKUP('State PT Wages - Cleaned'!$B34, State_Lookup_Key!A:B, 2, FALSE)</f>
        <v>NY</v>
      </c>
      <c r="B34" s="16" t="s">
        <v>138</v>
      </c>
      <c r="C34" s="17">
        <v>48.47</v>
      </c>
      <c r="D34" s="18">
        <f>E34*'Calculations &amp; Methodology'!D$16</f>
        <v>92961.192751891678</v>
      </c>
      <c r="E34" s="24">
        <v>100810</v>
      </c>
    </row>
    <row r="35" spans="1:5" x14ac:dyDescent="0.25">
      <c r="A35" t="str">
        <f>VLOOKUP('State PT Wages - Cleaned'!$B35, State_Lookup_Key!A:B, 2, FALSE)</f>
        <v>NC</v>
      </c>
      <c r="B35" s="19" t="s">
        <v>141</v>
      </c>
      <c r="C35" s="20">
        <v>45.74</v>
      </c>
      <c r="D35" s="21">
        <f>E35*'Calculations &amp; Methodology'!D$16</f>
        <v>87741.865790521697</v>
      </c>
      <c r="E35" s="25">
        <v>95150</v>
      </c>
    </row>
    <row r="36" spans="1:5" x14ac:dyDescent="0.25">
      <c r="A36" t="str">
        <f>VLOOKUP('State PT Wages - Cleaned'!$B36, State_Lookup_Key!A:B, 2, FALSE)</f>
        <v>ND</v>
      </c>
      <c r="B36" s="16" t="s">
        <v>144</v>
      </c>
      <c r="C36" s="17">
        <v>42.51</v>
      </c>
      <c r="D36" s="18">
        <f>E36*'Calculations &amp; Methodology'!D$16</f>
        <v>81545.067702110711</v>
      </c>
      <c r="E36" s="24">
        <v>88430</v>
      </c>
    </row>
    <row r="37" spans="1:5" x14ac:dyDescent="0.25">
      <c r="A37" t="str">
        <f>VLOOKUP('State PT Wages - Cleaned'!$B37, State_Lookup_Key!A:B, 2, FALSE)</f>
        <v>OH</v>
      </c>
      <c r="B37" s="19" t="s">
        <v>147</v>
      </c>
      <c r="C37" s="20">
        <v>47.06</v>
      </c>
      <c r="D37" s="21">
        <f>E37*'Calculations &amp; Methodology'!D$16</f>
        <v>90268.536439665462</v>
      </c>
      <c r="E37" s="25">
        <v>97890</v>
      </c>
    </row>
    <row r="38" spans="1:5" x14ac:dyDescent="0.25">
      <c r="A38" t="str">
        <f>VLOOKUP('State PT Wages - Cleaned'!$B38, State_Lookup_Key!A:B, 2, FALSE)</f>
        <v>OK</v>
      </c>
      <c r="B38" s="16" t="s">
        <v>150</v>
      </c>
      <c r="C38" s="17">
        <v>45.89</v>
      </c>
      <c r="D38" s="18">
        <f>E38*'Calculations &amp; Methodology'!D$16</f>
        <v>88018.508562325762</v>
      </c>
      <c r="E38" s="24">
        <v>95450</v>
      </c>
    </row>
    <row r="39" spans="1:5" x14ac:dyDescent="0.25">
      <c r="A39" t="str">
        <f>VLOOKUP('State PT Wages - Cleaned'!$B39, State_Lookup_Key!A:B, 2, FALSE)</f>
        <v>OR</v>
      </c>
      <c r="B39" s="19" t="s">
        <v>153</v>
      </c>
      <c r="C39" s="20">
        <v>48.22</v>
      </c>
      <c r="D39" s="21">
        <f>E39*'Calculations &amp; Methodology'!D$16</f>
        <v>92500.121465551565</v>
      </c>
      <c r="E39" s="25">
        <v>100310</v>
      </c>
    </row>
    <row r="40" spans="1:5" x14ac:dyDescent="0.25">
      <c r="A40" t="str">
        <f>VLOOKUP('State PT Wages - Cleaned'!$B40, State_Lookup_Key!A:B, 2, FALSE)</f>
        <v>PA</v>
      </c>
      <c r="B40" s="16" t="s">
        <v>156</v>
      </c>
      <c r="C40" s="17">
        <v>47.58</v>
      </c>
      <c r="D40" s="18">
        <f>E40*'Calculations &amp; Methodology'!D$16</f>
        <v>91264.450418160093</v>
      </c>
      <c r="E40" s="24">
        <v>98970</v>
      </c>
    </row>
    <row r="41" spans="1:5" x14ac:dyDescent="0.25">
      <c r="A41" t="str">
        <f>VLOOKUP('State PT Wages - Cleaned'!$B41, State_Lookup_Key!A:B, 2, FALSE)</f>
        <v>RI</v>
      </c>
      <c r="B41" s="19" t="s">
        <v>159</v>
      </c>
      <c r="C41" s="20">
        <v>45.75</v>
      </c>
      <c r="D41" s="21">
        <f>E41*'Calculations &amp; Methodology'!D$16</f>
        <v>87751.087216248503</v>
      </c>
      <c r="E41" s="25">
        <v>95160</v>
      </c>
    </row>
    <row r="42" spans="1:5" x14ac:dyDescent="0.25">
      <c r="A42" t="str">
        <f>VLOOKUP('State PT Wages - Cleaned'!$B42, State_Lookup_Key!A:B, 2, FALSE)</f>
        <v>SC</v>
      </c>
      <c r="B42" s="16" t="s">
        <v>162</v>
      </c>
      <c r="C42" s="17">
        <v>45.33</v>
      </c>
      <c r="D42" s="18">
        <f>E42*'Calculations &amp; Methodology'!D$16</f>
        <v>86939.60175228992</v>
      </c>
      <c r="E42" s="24">
        <v>94280</v>
      </c>
    </row>
    <row r="43" spans="1:5" x14ac:dyDescent="0.25">
      <c r="A43" t="str">
        <f>VLOOKUP('State PT Wages - Cleaned'!$B43, State_Lookup_Key!A:B, 2, FALSE)</f>
        <v>SD</v>
      </c>
      <c r="B43" s="19" t="s">
        <v>165</v>
      </c>
      <c r="C43" s="20">
        <v>42.81</v>
      </c>
      <c r="D43" s="21">
        <f>E43*'Calculations &amp; Methodology'!D$16</f>
        <v>82116.796097172439</v>
      </c>
      <c r="E43" s="25">
        <v>89050</v>
      </c>
    </row>
    <row r="44" spans="1:5" x14ac:dyDescent="0.25">
      <c r="A44" t="str">
        <f>VLOOKUP('State PT Wages - Cleaned'!$B44, State_Lookup_Key!A:B, 2, FALSE)</f>
        <v>TN</v>
      </c>
      <c r="B44" s="16" t="s">
        <v>168</v>
      </c>
      <c r="C44" s="17">
        <v>46.37</v>
      </c>
      <c r="D44" s="18">
        <f>E44*'Calculations &amp; Methodology'!D$16</f>
        <v>88931.429709279168</v>
      </c>
      <c r="E44" s="24">
        <v>96440</v>
      </c>
    </row>
    <row r="45" spans="1:5" x14ac:dyDescent="0.25">
      <c r="A45" t="str">
        <f>VLOOKUP('State PT Wages - Cleaned'!$B45, State_Lookup_Key!A:B, 2, FALSE)</f>
        <v>TX</v>
      </c>
      <c r="B45" s="19" t="s">
        <v>171</v>
      </c>
      <c r="C45" s="20">
        <v>51.42</v>
      </c>
      <c r="D45" s="21">
        <f>E45*'Calculations &amp; Methodology'!D$16</f>
        <v>98632.369573874952</v>
      </c>
      <c r="E45" s="25">
        <v>106960</v>
      </c>
    </row>
    <row r="46" spans="1:5" x14ac:dyDescent="0.25">
      <c r="A46" t="str">
        <f>VLOOKUP('State PT Wages - Cleaned'!$B46, State_Lookup_Key!A:B, 2, FALSE)</f>
        <v>UT</v>
      </c>
      <c r="B46" s="16" t="s">
        <v>174</v>
      </c>
      <c r="C46" s="17">
        <v>46.57</v>
      </c>
      <c r="D46" s="18">
        <f>E46*'Calculations &amp; Methodology'!D$16</f>
        <v>89318.729589804861</v>
      </c>
      <c r="E46" s="24">
        <v>96860</v>
      </c>
    </row>
    <row r="47" spans="1:5" x14ac:dyDescent="0.25">
      <c r="A47" t="str">
        <f>VLOOKUP('State PT Wages - Cleaned'!$B47, State_Lookup_Key!A:B, 2, FALSE)</f>
        <v>VT</v>
      </c>
      <c r="B47" s="19" t="s">
        <v>177</v>
      </c>
      <c r="C47" s="20">
        <v>45.38</v>
      </c>
      <c r="D47" s="21">
        <f>E47*'Calculations &amp; Methodology'!D$16</f>
        <v>87031.816009557937</v>
      </c>
      <c r="E47" s="25">
        <v>94380</v>
      </c>
    </row>
    <row r="48" spans="1:5" x14ac:dyDescent="0.25">
      <c r="A48" t="str">
        <f>VLOOKUP('State PT Wages - Cleaned'!$B48, State_Lookup_Key!A:B, 2, FALSE)</f>
        <v>VA</v>
      </c>
      <c r="B48" s="16" t="s">
        <v>180</v>
      </c>
      <c r="C48" s="17">
        <v>48.01</v>
      </c>
      <c r="D48" s="18">
        <f>E48*'Calculations &amp; Methodology'!D$16</f>
        <v>92075.935882118676</v>
      </c>
      <c r="E48" s="24">
        <v>99850</v>
      </c>
    </row>
    <row r="49" spans="1:5" x14ac:dyDescent="0.25">
      <c r="A49" t="str">
        <f>VLOOKUP('State PT Wages - Cleaned'!$B49, State_Lookup_Key!A:B, 2, FALSE)</f>
        <v>WA</v>
      </c>
      <c r="B49" s="19" t="s">
        <v>183</v>
      </c>
      <c r="C49" s="20">
        <v>48.79</v>
      </c>
      <c r="D49" s="21">
        <f>E49*'Calculations &amp; Methodology'!D$16</f>
        <v>93579.028275587407</v>
      </c>
      <c r="E49" s="25">
        <v>101480</v>
      </c>
    </row>
    <row r="50" spans="1:5" x14ac:dyDescent="0.25">
      <c r="A50" t="str">
        <f>VLOOKUP('State PT Wages - Cleaned'!$B50, State_Lookup_Key!A:B, 2, FALSE)</f>
        <v>WV</v>
      </c>
      <c r="B50" s="16" t="s">
        <v>186</v>
      </c>
      <c r="C50" s="17">
        <v>45.25</v>
      </c>
      <c r="D50" s="18">
        <f>E50*'Calculations &amp; Methodology'!D$16</f>
        <v>86801.280366387888</v>
      </c>
      <c r="E50" s="24">
        <v>94130</v>
      </c>
    </row>
    <row r="51" spans="1:5" x14ac:dyDescent="0.25">
      <c r="A51" t="str">
        <f>VLOOKUP('State PT Wages - Cleaned'!$B51, State_Lookup_Key!A:B, 2, FALSE)</f>
        <v>WI</v>
      </c>
      <c r="B51" s="19" t="s">
        <v>189</v>
      </c>
      <c r="C51" s="20">
        <v>45.76</v>
      </c>
      <c r="D51" s="21">
        <f>E51*'Calculations &amp; Methodology'!D$16</f>
        <v>87769.5300677021</v>
      </c>
      <c r="E51" s="25">
        <v>95180</v>
      </c>
    </row>
    <row r="52" spans="1:5" x14ac:dyDescent="0.25">
      <c r="A52" t="str">
        <f>VLOOKUP('State PT Wages - Cleaned'!$B52, State_Lookup_Key!A:B, 2, FALSE)</f>
        <v>WY</v>
      </c>
      <c r="B52" s="16" t="s">
        <v>192</v>
      </c>
      <c r="C52" s="17">
        <v>44.8</v>
      </c>
      <c r="D52" s="18">
        <f>E52*'Calculations &amp; Methodology'!D$16</f>
        <v>85934.466348068498</v>
      </c>
      <c r="E52" s="24">
        <v>93190</v>
      </c>
    </row>
    <row r="53" spans="1:5" x14ac:dyDescent="0.25">
      <c r="A53" t="str">
        <f>VLOOKUP('State PT Wages - Cleaned'!$B53, State_Lookup_Key!A:B, 2, FALSE)</f>
        <v>PR</v>
      </c>
      <c r="B53" s="19" t="s">
        <v>195</v>
      </c>
      <c r="C53" s="20">
        <v>25.33</v>
      </c>
      <c r="D53" s="21">
        <f>E53*'Calculations &amp; Methodology'!D$16</f>
        <v>48587.692154520111</v>
      </c>
      <c r="E53" s="25">
        <v>52690</v>
      </c>
    </row>
    <row r="54" spans="1:5" x14ac:dyDescent="0.25">
      <c r="A54" t="str">
        <f>VLOOKUP('State PT Wages - Cleaned'!$B54, State_Lookup_Key!A:B, 2, FALSE)</f>
        <v>VI</v>
      </c>
      <c r="B54" s="13" t="s">
        <v>199</v>
      </c>
      <c r="C54" s="22">
        <v>49.14</v>
      </c>
      <c r="D54" s="23">
        <f>E54*'Calculations &amp; Methodology'!D$16</f>
        <v>94242.970927917166</v>
      </c>
      <c r="E54" s="26">
        <v>102200</v>
      </c>
    </row>
    <row r="55" spans="1:5" x14ac:dyDescent="0.25">
      <c r="C55" s="11"/>
      <c r="D55" s="12"/>
      <c r="E55" s="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0C3B2-24EB-45A0-8FFA-340F97015035}">
  <dimension ref="A1:B54"/>
  <sheetViews>
    <sheetView topLeftCell="A39" workbookViewId="0">
      <selection activeCell="A55" sqref="A55"/>
    </sheetView>
  </sheetViews>
  <sheetFormatPr defaultRowHeight="15" x14ac:dyDescent="0.25"/>
  <cols>
    <col min="1" max="1" width="13.5703125" customWidth="1"/>
    <col min="2" max="2" width="14.7109375" customWidth="1"/>
  </cols>
  <sheetData>
    <row r="1" spans="1:2" x14ac:dyDescent="0.25">
      <c r="A1" s="29" t="s">
        <v>222</v>
      </c>
      <c r="B1" s="30" t="s">
        <v>221</v>
      </c>
    </row>
    <row r="2" spans="1:2" x14ac:dyDescent="0.25">
      <c r="A2" s="27" t="s">
        <v>33</v>
      </c>
      <c r="B2" s="16" t="s">
        <v>35</v>
      </c>
    </row>
    <row r="3" spans="1:2" x14ac:dyDescent="0.25">
      <c r="A3" s="28" t="s">
        <v>45</v>
      </c>
      <c r="B3" s="19" t="s">
        <v>46</v>
      </c>
    </row>
    <row r="4" spans="1:2" x14ac:dyDescent="0.25">
      <c r="A4" s="27" t="s">
        <v>48</v>
      </c>
      <c r="B4" s="16" t="s">
        <v>49</v>
      </c>
    </row>
    <row r="5" spans="1:2" x14ac:dyDescent="0.25">
      <c r="A5" s="28" t="s">
        <v>51</v>
      </c>
      <c r="B5" s="19" t="s">
        <v>52</v>
      </c>
    </row>
    <row r="6" spans="1:2" x14ac:dyDescent="0.25">
      <c r="A6" s="27" t="s">
        <v>54</v>
      </c>
      <c r="B6" s="16" t="s">
        <v>55</v>
      </c>
    </row>
    <row r="7" spans="1:2" x14ac:dyDescent="0.25">
      <c r="A7" s="28" t="s">
        <v>57</v>
      </c>
      <c r="B7" s="19" t="s">
        <v>58</v>
      </c>
    </row>
    <row r="8" spans="1:2" x14ac:dyDescent="0.25">
      <c r="A8" s="27" t="s">
        <v>60</v>
      </c>
      <c r="B8" s="16" t="s">
        <v>61</v>
      </c>
    </row>
    <row r="9" spans="1:2" x14ac:dyDescent="0.25">
      <c r="A9" s="28" t="s">
        <v>63</v>
      </c>
      <c r="B9" s="19" t="s">
        <v>64</v>
      </c>
    </row>
    <row r="10" spans="1:2" x14ac:dyDescent="0.25">
      <c r="A10" s="27" t="s">
        <v>69</v>
      </c>
      <c r="B10" s="16" t="s">
        <v>70</v>
      </c>
    </row>
    <row r="11" spans="1:2" x14ac:dyDescent="0.25">
      <c r="A11" s="28" t="s">
        <v>72</v>
      </c>
      <c r="B11" s="19" t="s">
        <v>73</v>
      </c>
    </row>
    <row r="12" spans="1:2" x14ac:dyDescent="0.25">
      <c r="A12" s="27" t="s">
        <v>75</v>
      </c>
      <c r="B12" s="16" t="s">
        <v>76</v>
      </c>
    </row>
    <row r="13" spans="1:2" x14ac:dyDescent="0.25">
      <c r="A13" s="28" t="s">
        <v>78</v>
      </c>
      <c r="B13" s="19" t="s">
        <v>79</v>
      </c>
    </row>
    <row r="14" spans="1:2" x14ac:dyDescent="0.25">
      <c r="A14" s="27" t="s">
        <v>81</v>
      </c>
      <c r="B14" s="16" t="s">
        <v>82</v>
      </c>
    </row>
    <row r="15" spans="1:2" x14ac:dyDescent="0.25">
      <c r="A15" s="28" t="s">
        <v>84</v>
      </c>
      <c r="B15" s="19" t="s">
        <v>85</v>
      </c>
    </row>
    <row r="16" spans="1:2" x14ac:dyDescent="0.25">
      <c r="A16" s="27" t="s">
        <v>87</v>
      </c>
      <c r="B16" s="16" t="s">
        <v>88</v>
      </c>
    </row>
    <row r="17" spans="1:2" x14ac:dyDescent="0.25">
      <c r="A17" s="28" t="s">
        <v>90</v>
      </c>
      <c r="B17" s="19" t="s">
        <v>91</v>
      </c>
    </row>
    <row r="18" spans="1:2" x14ac:dyDescent="0.25">
      <c r="A18" s="27" t="s">
        <v>93</v>
      </c>
      <c r="B18" s="16" t="s">
        <v>94</v>
      </c>
    </row>
    <row r="19" spans="1:2" x14ac:dyDescent="0.25">
      <c r="A19" s="28" t="s">
        <v>96</v>
      </c>
      <c r="B19" s="19" t="s">
        <v>97</v>
      </c>
    </row>
    <row r="20" spans="1:2" x14ac:dyDescent="0.25">
      <c r="A20" s="27" t="s">
        <v>99</v>
      </c>
      <c r="B20" s="16" t="s">
        <v>100</v>
      </c>
    </row>
    <row r="21" spans="1:2" x14ac:dyDescent="0.25">
      <c r="A21" s="28" t="s">
        <v>102</v>
      </c>
      <c r="B21" s="19" t="s">
        <v>103</v>
      </c>
    </row>
    <row r="22" spans="1:2" x14ac:dyDescent="0.25">
      <c r="A22" s="27" t="s">
        <v>105</v>
      </c>
      <c r="B22" s="16" t="s">
        <v>106</v>
      </c>
    </row>
    <row r="23" spans="1:2" x14ac:dyDescent="0.25">
      <c r="A23" s="28" t="s">
        <v>108</v>
      </c>
      <c r="B23" s="19" t="s">
        <v>109</v>
      </c>
    </row>
    <row r="24" spans="1:2" x14ac:dyDescent="0.25">
      <c r="A24" s="27" t="s">
        <v>111</v>
      </c>
      <c r="B24" s="16" t="s">
        <v>112</v>
      </c>
    </row>
    <row r="25" spans="1:2" x14ac:dyDescent="0.25">
      <c r="A25" s="28" t="s">
        <v>114</v>
      </c>
      <c r="B25" s="19" t="s">
        <v>115</v>
      </c>
    </row>
    <row r="26" spans="1:2" x14ac:dyDescent="0.25">
      <c r="A26" s="27" t="s">
        <v>117</v>
      </c>
      <c r="B26" s="16" t="s">
        <v>118</v>
      </c>
    </row>
    <row r="27" spans="1:2" x14ac:dyDescent="0.25">
      <c r="A27" s="28" t="s">
        <v>120</v>
      </c>
      <c r="B27" s="19" t="s">
        <v>121</v>
      </c>
    </row>
    <row r="28" spans="1:2" x14ac:dyDescent="0.25">
      <c r="A28" s="27" t="s">
        <v>123</v>
      </c>
      <c r="B28" s="16" t="s">
        <v>124</v>
      </c>
    </row>
    <row r="29" spans="1:2" x14ac:dyDescent="0.25">
      <c r="A29" s="28" t="s">
        <v>126</v>
      </c>
      <c r="B29" s="19" t="s">
        <v>127</v>
      </c>
    </row>
    <row r="30" spans="1:2" x14ac:dyDescent="0.25">
      <c r="A30" s="27" t="s">
        <v>129</v>
      </c>
      <c r="B30" s="16" t="s">
        <v>130</v>
      </c>
    </row>
    <row r="31" spans="1:2" x14ac:dyDescent="0.25">
      <c r="A31" s="28" t="s">
        <v>132</v>
      </c>
      <c r="B31" s="19" t="s">
        <v>133</v>
      </c>
    </row>
    <row r="32" spans="1:2" x14ac:dyDescent="0.25">
      <c r="A32" s="27" t="s">
        <v>135</v>
      </c>
      <c r="B32" s="16" t="s">
        <v>136</v>
      </c>
    </row>
    <row r="33" spans="1:2" x14ac:dyDescent="0.25">
      <c r="A33" s="28" t="s">
        <v>138</v>
      </c>
      <c r="B33" s="19" t="s">
        <v>139</v>
      </c>
    </row>
    <row r="34" spans="1:2" x14ac:dyDescent="0.25">
      <c r="A34" s="27" t="s">
        <v>141</v>
      </c>
      <c r="B34" s="16" t="s">
        <v>142</v>
      </c>
    </row>
    <row r="35" spans="1:2" x14ac:dyDescent="0.25">
      <c r="A35" s="28" t="s">
        <v>144</v>
      </c>
      <c r="B35" s="19" t="s">
        <v>145</v>
      </c>
    </row>
    <row r="36" spans="1:2" x14ac:dyDescent="0.25">
      <c r="A36" s="27" t="s">
        <v>147</v>
      </c>
      <c r="B36" s="16" t="s">
        <v>148</v>
      </c>
    </row>
    <row r="37" spans="1:2" x14ac:dyDescent="0.25">
      <c r="A37" s="28" t="s">
        <v>150</v>
      </c>
      <c r="B37" s="19" t="s">
        <v>151</v>
      </c>
    </row>
    <row r="38" spans="1:2" x14ac:dyDescent="0.25">
      <c r="A38" s="27" t="s">
        <v>153</v>
      </c>
      <c r="B38" s="16" t="s">
        <v>154</v>
      </c>
    </row>
    <row r="39" spans="1:2" x14ac:dyDescent="0.25">
      <c r="A39" s="28" t="s">
        <v>156</v>
      </c>
      <c r="B39" s="19" t="s">
        <v>157</v>
      </c>
    </row>
    <row r="40" spans="1:2" x14ac:dyDescent="0.25">
      <c r="A40" s="27" t="s">
        <v>159</v>
      </c>
      <c r="B40" s="16" t="s">
        <v>160</v>
      </c>
    </row>
    <row r="41" spans="1:2" x14ac:dyDescent="0.25">
      <c r="A41" s="28" t="s">
        <v>162</v>
      </c>
      <c r="B41" s="19" t="s">
        <v>163</v>
      </c>
    </row>
    <row r="42" spans="1:2" x14ac:dyDescent="0.25">
      <c r="A42" s="27" t="s">
        <v>165</v>
      </c>
      <c r="B42" s="16" t="s">
        <v>166</v>
      </c>
    </row>
    <row r="43" spans="1:2" x14ac:dyDescent="0.25">
      <c r="A43" s="28" t="s">
        <v>168</v>
      </c>
      <c r="B43" s="19" t="s">
        <v>169</v>
      </c>
    </row>
    <row r="44" spans="1:2" x14ac:dyDescent="0.25">
      <c r="A44" s="27" t="s">
        <v>171</v>
      </c>
      <c r="B44" s="16" t="s">
        <v>172</v>
      </c>
    </row>
    <row r="45" spans="1:2" x14ac:dyDescent="0.25">
      <c r="A45" s="28" t="s">
        <v>174</v>
      </c>
      <c r="B45" s="19" t="s">
        <v>175</v>
      </c>
    </row>
    <row r="46" spans="1:2" x14ac:dyDescent="0.25">
      <c r="A46" s="27" t="s">
        <v>177</v>
      </c>
      <c r="B46" s="16" t="s">
        <v>178</v>
      </c>
    </row>
    <row r="47" spans="1:2" x14ac:dyDescent="0.25">
      <c r="A47" s="28" t="s">
        <v>180</v>
      </c>
      <c r="B47" s="19" t="s">
        <v>181</v>
      </c>
    </row>
    <row r="48" spans="1:2" x14ac:dyDescent="0.25">
      <c r="A48" s="27" t="s">
        <v>183</v>
      </c>
      <c r="B48" s="16" t="s">
        <v>184</v>
      </c>
    </row>
    <row r="49" spans="1:2" x14ac:dyDescent="0.25">
      <c r="A49" s="28" t="s">
        <v>186</v>
      </c>
      <c r="B49" s="19" t="s">
        <v>187</v>
      </c>
    </row>
    <row r="50" spans="1:2" x14ac:dyDescent="0.25">
      <c r="A50" s="27" t="s">
        <v>189</v>
      </c>
      <c r="B50" s="16" t="s">
        <v>190</v>
      </c>
    </row>
    <row r="51" spans="1:2" x14ac:dyDescent="0.25">
      <c r="A51" s="28" t="s">
        <v>192</v>
      </c>
      <c r="B51" s="19" t="s">
        <v>193</v>
      </c>
    </row>
    <row r="52" spans="1:2" x14ac:dyDescent="0.25">
      <c r="A52" s="27" t="s">
        <v>66</v>
      </c>
      <c r="B52" s="16" t="s">
        <v>67</v>
      </c>
    </row>
    <row r="53" spans="1:2" x14ac:dyDescent="0.25">
      <c r="A53" s="28" t="s">
        <v>199</v>
      </c>
      <c r="B53" s="19" t="s">
        <v>200</v>
      </c>
    </row>
    <row r="54" spans="1:2" x14ac:dyDescent="0.25">
      <c r="A54" s="19" t="s">
        <v>195</v>
      </c>
      <c r="B54" s="16" t="s">
        <v>197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3A4E-A48B-499E-AC29-5E1BF45CE6CD}">
  <dimension ref="A1:AF2"/>
  <sheetViews>
    <sheetView topLeftCell="L1" workbookViewId="0">
      <selection activeCell="A6" sqref="A6"/>
    </sheetView>
  </sheetViews>
  <sheetFormatPr defaultRowHeight="15" x14ac:dyDescent="0.25"/>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201</v>
      </c>
      <c r="B2" t="s">
        <v>202</v>
      </c>
      <c r="C2" s="1" t="s">
        <v>203</v>
      </c>
      <c r="D2" s="1" t="s">
        <v>204</v>
      </c>
      <c r="E2" t="s">
        <v>36</v>
      </c>
      <c r="F2" t="s">
        <v>37</v>
      </c>
      <c r="G2" t="s">
        <v>38</v>
      </c>
      <c r="H2" s="1" t="s">
        <v>39</v>
      </c>
      <c r="I2" s="1" t="s">
        <v>40</v>
      </c>
      <c r="J2" t="s">
        <v>41</v>
      </c>
      <c r="K2" s="1" t="s">
        <v>42</v>
      </c>
      <c r="L2" s="2">
        <v>240820</v>
      </c>
      <c r="M2" s="3">
        <v>1.3</v>
      </c>
      <c r="N2" s="4"/>
      <c r="O2" s="5"/>
      <c r="P2" s="5"/>
      <c r="Q2" s="6"/>
      <c r="R2" s="5">
        <v>48.29</v>
      </c>
      <c r="S2" s="2">
        <v>100440</v>
      </c>
      <c r="T2" s="3">
        <v>0.5</v>
      </c>
      <c r="U2" s="5">
        <v>34.74</v>
      </c>
      <c r="V2" s="5">
        <v>39.409999999999997</v>
      </c>
      <c r="W2" s="5">
        <v>47.94</v>
      </c>
      <c r="X2" s="5">
        <v>54.63</v>
      </c>
      <c r="Y2" s="5">
        <v>62.92</v>
      </c>
      <c r="Z2" s="2">
        <v>72260</v>
      </c>
      <c r="AA2" s="2">
        <v>81970</v>
      </c>
      <c r="AB2" s="2">
        <v>99710</v>
      </c>
      <c r="AC2" s="2">
        <v>113630</v>
      </c>
      <c r="AD2" s="2">
        <v>130870</v>
      </c>
      <c r="AE2" s="1" t="s">
        <v>43</v>
      </c>
      <c r="AF2" s="1" t="s">
        <v>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D8BC-0394-452D-8E2D-DE3725522ABF}">
  <dimension ref="A1:AH55"/>
  <sheetViews>
    <sheetView topLeftCell="B36" zoomScaleNormal="100" workbookViewId="0">
      <selection activeCell="B1" sqref="A1:AH55"/>
    </sheetView>
  </sheetViews>
  <sheetFormatPr defaultRowHeight="15" x14ac:dyDescent="0.25"/>
  <cols>
    <col min="1" max="1" width="0" hidden="1" customWidth="1"/>
    <col min="3" max="17" width="9.140625" customWidth="1"/>
    <col min="18" max="18" width="27.28515625" customWidth="1"/>
    <col min="19" max="19" width="29.7109375" bestFit="1" customWidth="1"/>
    <col min="21" max="33" width="9.140625" customWidth="1"/>
  </cols>
  <sheetData>
    <row r="1" spans="1:34" x14ac:dyDescent="0.25">
      <c r="A1" s="1" t="s">
        <v>0</v>
      </c>
      <c r="B1" s="1" t="s">
        <v>219</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218</v>
      </c>
      <c r="T1" s="1" t="s">
        <v>18</v>
      </c>
      <c r="U1" s="1" t="s">
        <v>19</v>
      </c>
      <c r="V1" s="1" t="s">
        <v>20</v>
      </c>
      <c r="W1" s="1" t="s">
        <v>21</v>
      </c>
      <c r="X1" s="1" t="s">
        <v>22</v>
      </c>
      <c r="Y1" s="1" t="s">
        <v>23</v>
      </c>
      <c r="Z1" s="1" t="s">
        <v>24</v>
      </c>
      <c r="AA1" s="1" t="s">
        <v>25</v>
      </c>
      <c r="AB1" s="1" t="s">
        <v>26</v>
      </c>
      <c r="AC1" s="1" t="s">
        <v>27</v>
      </c>
      <c r="AD1" s="1" t="s">
        <v>28</v>
      </c>
      <c r="AE1" s="1" t="s">
        <v>29</v>
      </c>
      <c r="AF1" s="1" t="s">
        <v>30</v>
      </c>
      <c r="AG1" s="1" t="s">
        <v>31</v>
      </c>
    </row>
    <row r="2" spans="1:34" x14ac:dyDescent="0.25">
      <c r="A2" t="s">
        <v>32</v>
      </c>
      <c r="B2" t="s">
        <v>33</v>
      </c>
      <c r="C2" s="1" t="s">
        <v>34</v>
      </c>
      <c r="D2" s="1" t="s">
        <v>35</v>
      </c>
      <c r="E2" t="s">
        <v>36</v>
      </c>
      <c r="F2" t="s">
        <v>37</v>
      </c>
      <c r="G2" t="s">
        <v>38</v>
      </c>
      <c r="H2" s="1" t="s">
        <v>39</v>
      </c>
      <c r="I2" s="1" t="s">
        <v>40</v>
      </c>
      <c r="J2" t="s">
        <v>41</v>
      </c>
      <c r="K2" s="1" t="s">
        <v>42</v>
      </c>
      <c r="L2" s="2">
        <v>2670</v>
      </c>
      <c r="M2" s="3">
        <v>5.5</v>
      </c>
      <c r="N2" s="4">
        <v>1.3029999999999999</v>
      </c>
      <c r="O2" s="5">
        <v>0.82</v>
      </c>
      <c r="P2" s="5"/>
      <c r="Q2" s="6"/>
      <c r="R2" s="5">
        <v>46.61</v>
      </c>
      <c r="S2" s="7">
        <f>T2*'Calculations &amp; Methodology'!D$16</f>
        <v>89401.722421346072</v>
      </c>
      <c r="T2" s="2">
        <v>96950</v>
      </c>
      <c r="U2" s="3">
        <v>1.9</v>
      </c>
      <c r="V2" s="5">
        <v>30.61</v>
      </c>
      <c r="W2" s="5">
        <v>38.450000000000003</v>
      </c>
      <c r="X2" s="5">
        <v>46.49</v>
      </c>
      <c r="Y2" s="5">
        <v>54.55</v>
      </c>
      <c r="Z2" s="5">
        <v>63.32</v>
      </c>
      <c r="AA2" s="2">
        <v>63670</v>
      </c>
      <c r="AB2" s="2">
        <v>79980</v>
      </c>
      <c r="AC2" s="2">
        <v>96700</v>
      </c>
      <c r="AD2" s="2">
        <v>113470</v>
      </c>
      <c r="AE2" s="2">
        <v>131700</v>
      </c>
      <c r="AF2" s="1" t="s">
        <v>43</v>
      </c>
      <c r="AG2" s="1" t="s">
        <v>43</v>
      </c>
      <c r="AH2" s="8">
        <f t="shared" ref="AH2:AH33" si="0">SUM(L2:AG2)</f>
        <v>674831.27542134607</v>
      </c>
    </row>
    <row r="3" spans="1:34" x14ac:dyDescent="0.25">
      <c r="A3" t="s">
        <v>44</v>
      </c>
      <c r="B3" t="s">
        <v>45</v>
      </c>
      <c r="C3" s="1" t="s">
        <v>34</v>
      </c>
      <c r="D3" s="1" t="s">
        <v>46</v>
      </c>
      <c r="E3" t="s">
        <v>36</v>
      </c>
      <c r="F3" t="s">
        <v>37</v>
      </c>
      <c r="G3" t="s">
        <v>38</v>
      </c>
      <c r="H3" s="1" t="s">
        <v>39</v>
      </c>
      <c r="I3" s="1" t="s">
        <v>40</v>
      </c>
      <c r="J3" t="s">
        <v>41</v>
      </c>
      <c r="K3" s="1" t="s">
        <v>42</v>
      </c>
      <c r="L3" s="2">
        <v>570</v>
      </c>
      <c r="M3" s="3">
        <v>7.9</v>
      </c>
      <c r="N3" s="4">
        <v>1.8440000000000001</v>
      </c>
      <c r="O3" s="5">
        <v>1.1599999999999999</v>
      </c>
      <c r="P3" s="5"/>
      <c r="Q3" s="6"/>
      <c r="R3" s="5">
        <v>53.28</v>
      </c>
      <c r="S3" s="7">
        <f>T3*'Calculations &amp; Methodology'!D$16</f>
        <v>102201.06133014735</v>
      </c>
      <c r="T3" s="2">
        <v>110830</v>
      </c>
      <c r="U3" s="3">
        <v>1.2</v>
      </c>
      <c r="V3" s="5">
        <v>40.33</v>
      </c>
      <c r="W3" s="5">
        <v>48.42</v>
      </c>
      <c r="X3" s="5">
        <v>50.29</v>
      </c>
      <c r="Y3" s="5">
        <v>60.13</v>
      </c>
      <c r="Z3" s="5">
        <v>63.03</v>
      </c>
      <c r="AA3" s="2">
        <v>83890</v>
      </c>
      <c r="AB3" s="2">
        <v>100700</v>
      </c>
      <c r="AC3" s="2">
        <v>104610</v>
      </c>
      <c r="AD3" s="2">
        <v>125060</v>
      </c>
      <c r="AE3" s="2">
        <v>131100</v>
      </c>
      <c r="AF3" s="1" t="s">
        <v>43</v>
      </c>
      <c r="AG3" s="1" t="s">
        <v>43</v>
      </c>
      <c r="AH3" s="8">
        <f t="shared" si="0"/>
        <v>759288.64533014735</v>
      </c>
    </row>
    <row r="4" spans="1:34" x14ac:dyDescent="0.25">
      <c r="A4" t="s">
        <v>47</v>
      </c>
      <c r="B4" t="s">
        <v>48</v>
      </c>
      <c r="C4" s="1" t="s">
        <v>34</v>
      </c>
      <c r="D4" s="1" t="s">
        <v>49</v>
      </c>
      <c r="E4" t="s">
        <v>36</v>
      </c>
      <c r="F4" t="s">
        <v>37</v>
      </c>
      <c r="G4" t="s">
        <v>38</v>
      </c>
      <c r="H4" s="1" t="s">
        <v>39</v>
      </c>
      <c r="I4" s="1" t="s">
        <v>40</v>
      </c>
      <c r="J4" t="s">
        <v>41</v>
      </c>
      <c r="K4" s="1" t="s">
        <v>42</v>
      </c>
      <c r="L4" s="2">
        <v>4490</v>
      </c>
      <c r="M4" s="3">
        <v>4</v>
      </c>
      <c r="N4" s="4">
        <v>1.4330000000000001</v>
      </c>
      <c r="O4" s="5">
        <v>0.9</v>
      </c>
      <c r="P4" s="5"/>
      <c r="Q4" s="6"/>
      <c r="R4" s="5">
        <v>47.58</v>
      </c>
      <c r="S4" s="7">
        <f>T4*'Calculations &amp; Methodology'!D$16</f>
        <v>91255.228992433287</v>
      </c>
      <c r="T4" s="2">
        <v>98960</v>
      </c>
      <c r="U4" s="3">
        <v>1.1000000000000001</v>
      </c>
      <c r="V4" s="5">
        <v>36.86</v>
      </c>
      <c r="W4" s="5">
        <v>39.409999999999997</v>
      </c>
      <c r="X4" s="5">
        <v>47.36</v>
      </c>
      <c r="Y4" s="5">
        <v>52.21</v>
      </c>
      <c r="Z4" s="5">
        <v>60.45</v>
      </c>
      <c r="AA4" s="2">
        <v>76670</v>
      </c>
      <c r="AB4" s="2">
        <v>81980</v>
      </c>
      <c r="AC4" s="2">
        <v>98510</v>
      </c>
      <c r="AD4" s="2">
        <v>108610</v>
      </c>
      <c r="AE4" s="2">
        <v>125740</v>
      </c>
      <c r="AF4" s="1" t="s">
        <v>43</v>
      </c>
      <c r="AG4" s="1" t="s">
        <v>43</v>
      </c>
      <c r="AH4" s="8">
        <f t="shared" si="0"/>
        <v>686506.53199243324</v>
      </c>
    </row>
    <row r="5" spans="1:34" x14ac:dyDescent="0.25">
      <c r="A5" t="s">
        <v>50</v>
      </c>
      <c r="B5" t="s">
        <v>51</v>
      </c>
      <c r="C5" s="1" t="s">
        <v>34</v>
      </c>
      <c r="D5" s="1" t="s">
        <v>52</v>
      </c>
      <c r="E5" t="s">
        <v>36</v>
      </c>
      <c r="F5" t="s">
        <v>37</v>
      </c>
      <c r="G5" t="s">
        <v>38</v>
      </c>
      <c r="H5" s="1" t="s">
        <v>39</v>
      </c>
      <c r="I5" s="1" t="s">
        <v>40</v>
      </c>
      <c r="J5" t="s">
        <v>41</v>
      </c>
      <c r="K5" s="1" t="s">
        <v>42</v>
      </c>
      <c r="L5" s="2">
        <v>2570</v>
      </c>
      <c r="M5" s="3">
        <v>6.2</v>
      </c>
      <c r="N5" s="4">
        <v>2.0219999999999998</v>
      </c>
      <c r="O5" s="5">
        <v>1.27</v>
      </c>
      <c r="P5" s="5"/>
      <c r="Q5" s="6"/>
      <c r="R5" s="5">
        <v>44.36</v>
      </c>
      <c r="S5" s="7">
        <f>T5*'Calculations &amp; Methodology'!D$16</f>
        <v>85086.095181202705</v>
      </c>
      <c r="T5" s="2">
        <v>92270</v>
      </c>
      <c r="U5" s="3">
        <v>1.3</v>
      </c>
      <c r="V5" s="5">
        <v>31.27</v>
      </c>
      <c r="W5" s="5">
        <v>36.409999999999997</v>
      </c>
      <c r="X5" s="5">
        <v>45.14</v>
      </c>
      <c r="Y5" s="5">
        <v>52.04</v>
      </c>
      <c r="Z5" s="5">
        <v>60</v>
      </c>
      <c r="AA5" s="2">
        <v>65040</v>
      </c>
      <c r="AB5" s="2">
        <v>75730</v>
      </c>
      <c r="AC5" s="2">
        <v>93880</v>
      </c>
      <c r="AD5" s="2">
        <v>108250</v>
      </c>
      <c r="AE5" s="2">
        <v>124800</v>
      </c>
      <c r="AF5" s="1" t="s">
        <v>43</v>
      </c>
      <c r="AG5" s="1" t="s">
        <v>43</v>
      </c>
      <c r="AH5" s="8">
        <f t="shared" si="0"/>
        <v>647906.10718120274</v>
      </c>
    </row>
    <row r="6" spans="1:34" x14ac:dyDescent="0.25">
      <c r="A6" t="s">
        <v>53</v>
      </c>
      <c r="B6" t="s">
        <v>54</v>
      </c>
      <c r="C6" s="1" t="s">
        <v>34</v>
      </c>
      <c r="D6" s="1" t="s">
        <v>55</v>
      </c>
      <c r="E6" t="s">
        <v>36</v>
      </c>
      <c r="F6" t="s">
        <v>37</v>
      </c>
      <c r="G6" t="s">
        <v>38</v>
      </c>
      <c r="H6" s="1" t="s">
        <v>39</v>
      </c>
      <c r="I6" s="1" t="s">
        <v>40</v>
      </c>
      <c r="J6" t="s">
        <v>41</v>
      </c>
      <c r="K6" s="1" t="s">
        <v>42</v>
      </c>
      <c r="L6" s="2">
        <v>24200</v>
      </c>
      <c r="M6" s="3">
        <v>3.2</v>
      </c>
      <c r="N6" s="4">
        <v>1.349</v>
      </c>
      <c r="O6" s="5">
        <v>0.85</v>
      </c>
      <c r="P6" s="5"/>
      <c r="Q6" s="6"/>
      <c r="R6" s="5">
        <v>54.94</v>
      </c>
      <c r="S6" s="7">
        <f>T6*'Calculations &amp; Methodology'!D$16</f>
        <v>105373.23178016726</v>
      </c>
      <c r="T6" s="2">
        <v>114270</v>
      </c>
      <c r="U6" s="3">
        <v>1.8</v>
      </c>
      <c r="V6" s="5">
        <v>37.020000000000003</v>
      </c>
      <c r="W6" s="5">
        <v>46.39</v>
      </c>
      <c r="X6" s="5">
        <v>55.55</v>
      </c>
      <c r="Y6" s="5">
        <v>63.74</v>
      </c>
      <c r="Z6" s="5">
        <v>74.12</v>
      </c>
      <c r="AA6" s="2">
        <v>76990</v>
      </c>
      <c r="AB6" s="2">
        <v>96490</v>
      </c>
      <c r="AC6" s="2">
        <v>115550</v>
      </c>
      <c r="AD6" s="2">
        <v>132580</v>
      </c>
      <c r="AE6" s="2">
        <v>154170</v>
      </c>
      <c r="AF6" s="1" t="s">
        <v>43</v>
      </c>
      <c r="AG6" s="1" t="s">
        <v>43</v>
      </c>
      <c r="AH6" s="8">
        <f t="shared" si="0"/>
        <v>819962.19078016724</v>
      </c>
    </row>
    <row r="7" spans="1:34" x14ac:dyDescent="0.25">
      <c r="A7" t="s">
        <v>56</v>
      </c>
      <c r="B7" t="s">
        <v>57</v>
      </c>
      <c r="C7" s="1" t="s">
        <v>34</v>
      </c>
      <c r="D7" s="1" t="s">
        <v>58</v>
      </c>
      <c r="E7" t="s">
        <v>36</v>
      </c>
      <c r="F7" t="s">
        <v>37</v>
      </c>
      <c r="G7" t="s">
        <v>38</v>
      </c>
      <c r="H7" s="1" t="s">
        <v>39</v>
      </c>
      <c r="I7" s="1" t="s">
        <v>40</v>
      </c>
      <c r="J7" t="s">
        <v>41</v>
      </c>
      <c r="K7" s="1" t="s">
        <v>42</v>
      </c>
      <c r="L7" s="2">
        <v>5360</v>
      </c>
      <c r="M7" s="3">
        <v>4</v>
      </c>
      <c r="N7" s="4">
        <v>1.893</v>
      </c>
      <c r="O7" s="5">
        <v>1.19</v>
      </c>
      <c r="P7" s="5"/>
      <c r="Q7" s="6"/>
      <c r="R7" s="5">
        <v>47.12</v>
      </c>
      <c r="S7" s="7">
        <f>T7*'Calculations &amp; Methodology'!D$16</f>
        <v>90369.972122660285</v>
      </c>
      <c r="T7" s="2">
        <v>98000</v>
      </c>
      <c r="U7" s="3">
        <v>1</v>
      </c>
      <c r="V7" s="5">
        <v>34.19</v>
      </c>
      <c r="W7" s="5">
        <v>39.299999999999997</v>
      </c>
      <c r="X7" s="5">
        <v>46.93</v>
      </c>
      <c r="Y7" s="5">
        <v>52.05</v>
      </c>
      <c r="Z7" s="5">
        <v>62.35</v>
      </c>
      <c r="AA7" s="2">
        <v>71110</v>
      </c>
      <c r="AB7" s="2">
        <v>81750</v>
      </c>
      <c r="AC7" s="2">
        <v>97610</v>
      </c>
      <c r="AD7" s="2">
        <v>108260</v>
      </c>
      <c r="AE7" s="2">
        <v>129680</v>
      </c>
      <c r="AF7" s="1" t="s">
        <v>43</v>
      </c>
      <c r="AG7" s="1" t="s">
        <v>43</v>
      </c>
      <c r="AH7" s="8">
        <f t="shared" si="0"/>
        <v>682429.9951226603</v>
      </c>
    </row>
    <row r="8" spans="1:34" x14ac:dyDescent="0.25">
      <c r="A8" t="s">
        <v>59</v>
      </c>
      <c r="B8" t="s">
        <v>60</v>
      </c>
      <c r="C8" s="1" t="s">
        <v>34</v>
      </c>
      <c r="D8" s="1" t="s">
        <v>61</v>
      </c>
      <c r="E8" t="s">
        <v>36</v>
      </c>
      <c r="F8" t="s">
        <v>37</v>
      </c>
      <c r="G8" t="s">
        <v>38</v>
      </c>
      <c r="H8" s="1" t="s">
        <v>39</v>
      </c>
      <c r="I8" s="1" t="s">
        <v>40</v>
      </c>
      <c r="J8" t="s">
        <v>41</v>
      </c>
      <c r="K8" s="1" t="s">
        <v>42</v>
      </c>
      <c r="L8" s="2">
        <v>3790</v>
      </c>
      <c r="M8" s="3">
        <v>6.8</v>
      </c>
      <c r="N8" s="4">
        <v>2.282</v>
      </c>
      <c r="O8" s="5">
        <v>1.44</v>
      </c>
      <c r="P8" s="5"/>
      <c r="Q8" s="6"/>
      <c r="R8" s="5">
        <v>49.94</v>
      </c>
      <c r="S8" s="7">
        <f>T8*'Calculations &amp; Methodology'!D$16</f>
        <v>95782.949024293106</v>
      </c>
      <c r="T8" s="2">
        <v>103870</v>
      </c>
      <c r="U8" s="3">
        <v>1.2</v>
      </c>
      <c r="V8" s="5">
        <v>36.65</v>
      </c>
      <c r="W8" s="5">
        <v>42.39</v>
      </c>
      <c r="X8" s="5">
        <v>49.66</v>
      </c>
      <c r="Y8" s="5">
        <v>53.81</v>
      </c>
      <c r="Z8" s="5">
        <v>62.72</v>
      </c>
      <c r="AA8" s="2">
        <v>76230</v>
      </c>
      <c r="AB8" s="2">
        <v>88160</v>
      </c>
      <c r="AC8" s="2">
        <v>103280</v>
      </c>
      <c r="AD8" s="2">
        <v>111930</v>
      </c>
      <c r="AE8" s="2">
        <v>130450</v>
      </c>
      <c r="AF8" s="1" t="s">
        <v>43</v>
      </c>
      <c r="AG8" s="1" t="s">
        <v>43</v>
      </c>
      <c r="AH8" s="8">
        <f t="shared" si="0"/>
        <v>713799.8410242931</v>
      </c>
    </row>
    <row r="9" spans="1:34" x14ac:dyDescent="0.25">
      <c r="A9" t="s">
        <v>62</v>
      </c>
      <c r="B9" t="s">
        <v>63</v>
      </c>
      <c r="C9" s="1" t="s">
        <v>34</v>
      </c>
      <c r="D9" s="1" t="s">
        <v>64</v>
      </c>
      <c r="E9" t="s">
        <v>36</v>
      </c>
      <c r="F9" t="s">
        <v>37</v>
      </c>
      <c r="G9" t="s">
        <v>38</v>
      </c>
      <c r="H9" s="1" t="s">
        <v>39</v>
      </c>
      <c r="I9" s="1" t="s">
        <v>40</v>
      </c>
      <c r="J9" t="s">
        <v>41</v>
      </c>
      <c r="K9" s="1" t="s">
        <v>42</v>
      </c>
      <c r="L9" s="2">
        <v>1060</v>
      </c>
      <c r="M9" s="3">
        <v>5.2</v>
      </c>
      <c r="N9" s="4">
        <v>2.2599999999999998</v>
      </c>
      <c r="O9" s="5">
        <v>1.42</v>
      </c>
      <c r="P9" s="5"/>
      <c r="Q9" s="6"/>
      <c r="R9" s="5">
        <v>50.26</v>
      </c>
      <c r="S9" s="7">
        <f>T9*'Calculations &amp; Methodology'!D$16</f>
        <v>96391.563122262043</v>
      </c>
      <c r="T9" s="2">
        <v>104530</v>
      </c>
      <c r="U9" s="3">
        <v>1.7</v>
      </c>
      <c r="V9" s="5">
        <v>38.78</v>
      </c>
      <c r="W9" s="5">
        <v>41.53</v>
      </c>
      <c r="X9" s="5">
        <v>49.27</v>
      </c>
      <c r="Y9" s="5">
        <v>58.58</v>
      </c>
      <c r="Z9" s="5">
        <v>63.25</v>
      </c>
      <c r="AA9" s="2">
        <v>80650</v>
      </c>
      <c r="AB9" s="2">
        <v>86390</v>
      </c>
      <c r="AC9" s="2">
        <v>102470</v>
      </c>
      <c r="AD9" s="2">
        <v>121850</v>
      </c>
      <c r="AE9" s="2">
        <v>131560</v>
      </c>
      <c r="AF9" s="1" t="s">
        <v>43</v>
      </c>
      <c r="AG9" s="1" t="s">
        <v>43</v>
      </c>
      <c r="AH9" s="8">
        <f t="shared" si="0"/>
        <v>725213.81312226201</v>
      </c>
    </row>
    <row r="10" spans="1:34" x14ac:dyDescent="0.25">
      <c r="A10" t="s">
        <v>65</v>
      </c>
      <c r="B10" t="s">
        <v>66</v>
      </c>
      <c r="C10" s="1" t="s">
        <v>34</v>
      </c>
      <c r="D10" s="1" t="s">
        <v>67</v>
      </c>
      <c r="E10" t="s">
        <v>36</v>
      </c>
      <c r="F10" t="s">
        <v>37</v>
      </c>
      <c r="G10" t="s">
        <v>38</v>
      </c>
      <c r="H10" s="1" t="s">
        <v>39</v>
      </c>
      <c r="I10" s="1" t="s">
        <v>40</v>
      </c>
      <c r="J10" t="s">
        <v>41</v>
      </c>
      <c r="K10" s="1" t="s">
        <v>42</v>
      </c>
      <c r="L10" s="2">
        <v>630</v>
      </c>
      <c r="M10" s="3">
        <v>9.9</v>
      </c>
      <c r="N10" s="4">
        <v>0.9</v>
      </c>
      <c r="O10" s="5">
        <v>0.56999999999999995</v>
      </c>
      <c r="P10" s="5"/>
      <c r="Q10" s="6"/>
      <c r="R10" s="5">
        <v>49.78</v>
      </c>
      <c r="S10" s="7">
        <f>T10*'Calculations &amp; Methodology'!D$16</f>
        <v>95487.863401035444</v>
      </c>
      <c r="T10" s="2">
        <v>103550</v>
      </c>
      <c r="U10" s="3">
        <v>1.7</v>
      </c>
      <c r="V10" s="5">
        <v>39.880000000000003</v>
      </c>
      <c r="W10" s="5">
        <v>41.86</v>
      </c>
      <c r="X10" s="5">
        <v>48.49</v>
      </c>
      <c r="Y10" s="5">
        <v>53.43</v>
      </c>
      <c r="Z10" s="5">
        <v>62.82</v>
      </c>
      <c r="AA10" s="2">
        <v>82960</v>
      </c>
      <c r="AB10" s="2">
        <v>87070</v>
      </c>
      <c r="AC10" s="2">
        <v>100850</v>
      </c>
      <c r="AD10" s="2">
        <v>111120</v>
      </c>
      <c r="AE10" s="2">
        <v>130660</v>
      </c>
      <c r="AF10" s="1" t="s">
        <v>43</v>
      </c>
      <c r="AG10" s="1" t="s">
        <v>43</v>
      </c>
      <c r="AH10" s="8">
        <f t="shared" si="0"/>
        <v>712637.19340103539</v>
      </c>
    </row>
    <row r="11" spans="1:34" x14ac:dyDescent="0.25">
      <c r="A11" t="s">
        <v>68</v>
      </c>
      <c r="B11" t="s">
        <v>69</v>
      </c>
      <c r="C11" s="1" t="s">
        <v>34</v>
      </c>
      <c r="D11" s="1" t="s">
        <v>70</v>
      </c>
      <c r="E11" t="s">
        <v>36</v>
      </c>
      <c r="F11" t="s">
        <v>37</v>
      </c>
      <c r="G11" t="s">
        <v>38</v>
      </c>
      <c r="H11" s="1" t="s">
        <v>39</v>
      </c>
      <c r="I11" s="1" t="s">
        <v>40</v>
      </c>
      <c r="J11" t="s">
        <v>41</v>
      </c>
      <c r="K11" s="1" t="s">
        <v>42</v>
      </c>
      <c r="L11" s="2">
        <v>16150</v>
      </c>
      <c r="M11" s="3">
        <v>4.2</v>
      </c>
      <c r="N11" s="4">
        <v>1.6879999999999999</v>
      </c>
      <c r="O11" s="5">
        <v>1.06</v>
      </c>
      <c r="P11" s="5"/>
      <c r="Q11" s="6"/>
      <c r="R11" s="5">
        <v>45.6</v>
      </c>
      <c r="S11" s="7">
        <f>T11*'Calculations &amp; Methodology'!D$16</f>
        <v>87465.223018717632</v>
      </c>
      <c r="T11" s="2">
        <v>94850</v>
      </c>
      <c r="U11" s="3">
        <v>1.5</v>
      </c>
      <c r="V11" s="5">
        <v>27.15</v>
      </c>
      <c r="W11" s="5">
        <v>39.130000000000003</v>
      </c>
      <c r="X11" s="5">
        <v>46.62</v>
      </c>
      <c r="Y11" s="5">
        <v>51.02</v>
      </c>
      <c r="Z11" s="5">
        <v>60.95</v>
      </c>
      <c r="AA11" s="2">
        <v>56470</v>
      </c>
      <c r="AB11" s="2">
        <v>81390</v>
      </c>
      <c r="AC11" s="2">
        <v>96970</v>
      </c>
      <c r="AD11" s="2">
        <v>106130</v>
      </c>
      <c r="AE11" s="2">
        <v>126780</v>
      </c>
      <c r="AF11" s="1" t="s">
        <v>43</v>
      </c>
      <c r="AG11" s="1" t="s">
        <v>43</v>
      </c>
      <c r="AH11" s="8">
        <f t="shared" si="0"/>
        <v>666484.14101871755</v>
      </c>
    </row>
    <row r="12" spans="1:34" x14ac:dyDescent="0.25">
      <c r="A12" t="s">
        <v>71</v>
      </c>
      <c r="B12" t="s">
        <v>72</v>
      </c>
      <c r="C12" s="1" t="s">
        <v>34</v>
      </c>
      <c r="D12" s="1" t="s">
        <v>73</v>
      </c>
      <c r="E12" t="s">
        <v>36</v>
      </c>
      <c r="F12" t="s">
        <v>37</v>
      </c>
      <c r="G12" t="s">
        <v>38</v>
      </c>
      <c r="H12" s="1" t="s">
        <v>39</v>
      </c>
      <c r="I12" s="1" t="s">
        <v>40</v>
      </c>
      <c r="J12" t="s">
        <v>41</v>
      </c>
      <c r="K12" s="1" t="s">
        <v>42</v>
      </c>
      <c r="L12" s="2">
        <v>5600</v>
      </c>
      <c r="M12" s="3">
        <v>5.3</v>
      </c>
      <c r="N12" s="4">
        <v>1.1759999999999999</v>
      </c>
      <c r="O12" s="5">
        <v>0.74</v>
      </c>
      <c r="P12" s="5"/>
      <c r="Q12" s="6"/>
      <c r="R12" s="5">
        <v>48.01</v>
      </c>
      <c r="S12" s="7">
        <f>T12*'Calculations &amp; Methodology'!D$16</f>
        <v>92085.157307845482</v>
      </c>
      <c r="T12" s="2">
        <v>99860</v>
      </c>
      <c r="U12" s="3">
        <v>1.2</v>
      </c>
      <c r="V12" s="5">
        <v>36.020000000000003</v>
      </c>
      <c r="W12" s="5">
        <v>39.35</v>
      </c>
      <c r="X12" s="5">
        <v>48.02</v>
      </c>
      <c r="Y12" s="5">
        <v>55.25</v>
      </c>
      <c r="Z12" s="5">
        <v>60.38</v>
      </c>
      <c r="AA12" s="2">
        <v>74910</v>
      </c>
      <c r="AB12" s="2">
        <v>81840</v>
      </c>
      <c r="AC12" s="2">
        <v>99890</v>
      </c>
      <c r="AD12" s="2">
        <v>114910</v>
      </c>
      <c r="AE12" s="2">
        <v>125590</v>
      </c>
      <c r="AF12" s="1" t="s">
        <v>43</v>
      </c>
      <c r="AG12" s="1" t="s">
        <v>43</v>
      </c>
      <c r="AH12" s="8">
        <f t="shared" si="0"/>
        <v>694980.60330784554</v>
      </c>
    </row>
    <row r="13" spans="1:34" x14ac:dyDescent="0.25">
      <c r="A13" t="s">
        <v>74</v>
      </c>
      <c r="B13" t="s">
        <v>75</v>
      </c>
      <c r="C13" s="1" t="s">
        <v>34</v>
      </c>
      <c r="D13" s="1" t="s">
        <v>76</v>
      </c>
      <c r="E13" t="s">
        <v>36</v>
      </c>
      <c r="F13" t="s">
        <v>37</v>
      </c>
      <c r="G13" t="s">
        <v>38</v>
      </c>
      <c r="H13" s="1" t="s">
        <v>39</v>
      </c>
      <c r="I13" s="1" t="s">
        <v>40</v>
      </c>
      <c r="J13" t="s">
        <v>41</v>
      </c>
      <c r="K13" s="1" t="s">
        <v>42</v>
      </c>
      <c r="L13" s="2">
        <v>870</v>
      </c>
      <c r="M13" s="3">
        <v>10.7</v>
      </c>
      <c r="N13" s="4">
        <v>1.41</v>
      </c>
      <c r="O13" s="5">
        <v>0.89</v>
      </c>
      <c r="P13" s="5"/>
      <c r="Q13" s="6"/>
      <c r="R13" s="5">
        <v>49.52</v>
      </c>
      <c r="S13" s="7">
        <f>T13*'Calculations &amp; Methodology'!D$16</f>
        <v>94989.906411788135</v>
      </c>
      <c r="T13" s="2">
        <v>103010</v>
      </c>
      <c r="U13" s="3">
        <v>2.7</v>
      </c>
      <c r="V13" s="5">
        <v>40.229999999999997</v>
      </c>
      <c r="W13" s="5">
        <v>44.76</v>
      </c>
      <c r="X13" s="5">
        <v>48.93</v>
      </c>
      <c r="Y13" s="5">
        <v>54.99</v>
      </c>
      <c r="Z13" s="5">
        <v>60.35</v>
      </c>
      <c r="AA13" s="2">
        <v>83670</v>
      </c>
      <c r="AB13" s="2">
        <v>93090</v>
      </c>
      <c r="AC13" s="2">
        <v>101780</v>
      </c>
      <c r="AD13" s="2">
        <v>114380</v>
      </c>
      <c r="AE13" s="2">
        <v>125520</v>
      </c>
      <c r="AF13" s="1" t="s">
        <v>43</v>
      </c>
      <c r="AG13" s="1" t="s">
        <v>43</v>
      </c>
      <c r="AH13" s="8">
        <f t="shared" si="0"/>
        <v>717624.38641178817</v>
      </c>
    </row>
    <row r="14" spans="1:34" x14ac:dyDescent="0.25">
      <c r="A14" t="s">
        <v>77</v>
      </c>
      <c r="B14" t="s">
        <v>78</v>
      </c>
      <c r="C14" s="1" t="s">
        <v>34</v>
      </c>
      <c r="D14" s="1" t="s">
        <v>79</v>
      </c>
      <c r="E14" t="s">
        <v>36</v>
      </c>
      <c r="F14" t="s">
        <v>37</v>
      </c>
      <c r="G14" t="s">
        <v>38</v>
      </c>
      <c r="H14" s="1" t="s">
        <v>39</v>
      </c>
      <c r="I14" s="1" t="s">
        <v>40</v>
      </c>
      <c r="J14" t="s">
        <v>41</v>
      </c>
      <c r="K14" s="1" t="s">
        <v>42</v>
      </c>
      <c r="L14" s="2">
        <v>1260</v>
      </c>
      <c r="M14" s="3">
        <v>4.7</v>
      </c>
      <c r="N14" s="4">
        <v>1.5269999999999999</v>
      </c>
      <c r="O14" s="5">
        <v>0.96</v>
      </c>
      <c r="P14" s="5"/>
      <c r="Q14" s="6"/>
      <c r="R14" s="5">
        <v>44.42</v>
      </c>
      <c r="S14" s="7">
        <f>T14*'Calculations &amp; Methodology'!D$16</f>
        <v>85205.973715651126</v>
      </c>
      <c r="T14" s="2">
        <v>92400</v>
      </c>
      <c r="U14" s="3">
        <v>1.3</v>
      </c>
      <c r="V14" s="5">
        <v>34.799999999999997</v>
      </c>
      <c r="W14" s="5">
        <v>37.93</v>
      </c>
      <c r="X14" s="5">
        <v>44.76</v>
      </c>
      <c r="Y14" s="5">
        <v>50.64</v>
      </c>
      <c r="Z14" s="5">
        <v>54.5</v>
      </c>
      <c r="AA14" s="2">
        <v>72380</v>
      </c>
      <c r="AB14" s="2">
        <v>78890</v>
      </c>
      <c r="AC14" s="2">
        <v>93100</v>
      </c>
      <c r="AD14" s="2">
        <v>105320</v>
      </c>
      <c r="AE14" s="2">
        <v>113360</v>
      </c>
      <c r="AF14" s="1" t="s">
        <v>43</v>
      </c>
      <c r="AG14" s="1" t="s">
        <v>43</v>
      </c>
      <c r="AH14" s="8">
        <f t="shared" si="0"/>
        <v>642191.51071565109</v>
      </c>
    </row>
    <row r="15" spans="1:34" x14ac:dyDescent="0.25">
      <c r="A15" t="s">
        <v>80</v>
      </c>
      <c r="B15" t="s">
        <v>81</v>
      </c>
      <c r="C15" s="1" t="s">
        <v>34</v>
      </c>
      <c r="D15" s="1" t="s">
        <v>82</v>
      </c>
      <c r="E15" t="s">
        <v>36</v>
      </c>
      <c r="F15" t="s">
        <v>37</v>
      </c>
      <c r="G15" t="s">
        <v>38</v>
      </c>
      <c r="H15" s="1" t="s">
        <v>39</v>
      </c>
      <c r="I15" s="1" t="s">
        <v>40</v>
      </c>
      <c r="J15" t="s">
        <v>41</v>
      </c>
      <c r="K15" s="1" t="s">
        <v>42</v>
      </c>
      <c r="L15" s="2">
        <v>10610</v>
      </c>
      <c r="M15" s="3">
        <v>3.3</v>
      </c>
      <c r="N15" s="4">
        <v>1.764</v>
      </c>
      <c r="O15" s="5">
        <v>1.1100000000000001</v>
      </c>
      <c r="P15" s="5"/>
      <c r="Q15" s="6"/>
      <c r="R15" s="5">
        <v>50.31</v>
      </c>
      <c r="S15" s="7">
        <f>T15*'Calculations &amp; Methodology'!D$16</f>
        <v>96492.998805256866</v>
      </c>
      <c r="T15" s="2">
        <v>104640</v>
      </c>
      <c r="U15" s="3">
        <v>1.3</v>
      </c>
      <c r="V15" s="5">
        <v>38.36</v>
      </c>
      <c r="W15" s="5">
        <v>42.91</v>
      </c>
      <c r="X15" s="5">
        <v>49.43</v>
      </c>
      <c r="Y15" s="5">
        <v>57</v>
      </c>
      <c r="Z15" s="5">
        <v>62.87</v>
      </c>
      <c r="AA15" s="2">
        <v>79800</v>
      </c>
      <c r="AB15" s="2">
        <v>89250</v>
      </c>
      <c r="AC15" s="2">
        <v>102820</v>
      </c>
      <c r="AD15" s="2">
        <v>118560</v>
      </c>
      <c r="AE15" s="2">
        <v>130760</v>
      </c>
      <c r="AF15" s="1" t="s">
        <v>43</v>
      </c>
      <c r="AG15" s="1" t="s">
        <v>43</v>
      </c>
      <c r="AH15" s="8">
        <f t="shared" si="0"/>
        <v>733241.35280525684</v>
      </c>
    </row>
    <row r="16" spans="1:34" x14ac:dyDescent="0.25">
      <c r="A16" t="s">
        <v>83</v>
      </c>
      <c r="B16" t="s">
        <v>84</v>
      </c>
      <c r="C16" s="1" t="s">
        <v>34</v>
      </c>
      <c r="D16" s="1" t="s">
        <v>85</v>
      </c>
      <c r="E16" t="s">
        <v>36</v>
      </c>
      <c r="F16" t="s">
        <v>37</v>
      </c>
      <c r="G16" t="s">
        <v>38</v>
      </c>
      <c r="H16" s="1" t="s">
        <v>39</v>
      </c>
      <c r="I16" s="1" t="s">
        <v>40</v>
      </c>
      <c r="J16" t="s">
        <v>41</v>
      </c>
      <c r="K16" s="1" t="s">
        <v>42</v>
      </c>
      <c r="L16" s="2">
        <v>4840</v>
      </c>
      <c r="M16" s="3">
        <v>4.2</v>
      </c>
      <c r="N16" s="4">
        <v>1.5329999999999999</v>
      </c>
      <c r="O16" s="5">
        <v>0.97</v>
      </c>
      <c r="P16" s="5"/>
      <c r="Q16" s="6"/>
      <c r="R16" s="5">
        <v>46.52</v>
      </c>
      <c r="S16" s="7">
        <f>T16*'Calculations &amp; Methodology'!D$16</f>
        <v>89226.51533253683</v>
      </c>
      <c r="T16" s="2">
        <v>96760</v>
      </c>
      <c r="U16" s="3">
        <v>1.6</v>
      </c>
      <c r="V16" s="5">
        <v>32.1</v>
      </c>
      <c r="W16" s="5">
        <v>38.6</v>
      </c>
      <c r="X16" s="5">
        <v>47.41</v>
      </c>
      <c r="Y16" s="5">
        <v>50.99</v>
      </c>
      <c r="Z16" s="5">
        <v>57.67</v>
      </c>
      <c r="AA16" s="2">
        <v>66760</v>
      </c>
      <c r="AB16" s="2">
        <v>80300</v>
      </c>
      <c r="AC16" s="2">
        <v>98620</v>
      </c>
      <c r="AD16" s="2">
        <v>106060</v>
      </c>
      <c r="AE16" s="2">
        <v>119950</v>
      </c>
      <c r="AF16" s="1" t="s">
        <v>43</v>
      </c>
      <c r="AG16" s="1" t="s">
        <v>43</v>
      </c>
      <c r="AH16" s="8">
        <f t="shared" si="0"/>
        <v>662798.10833253688</v>
      </c>
    </row>
    <row r="17" spans="1:34" x14ac:dyDescent="0.25">
      <c r="A17" t="s">
        <v>86</v>
      </c>
      <c r="B17" t="s">
        <v>87</v>
      </c>
      <c r="C17" s="1" t="s">
        <v>34</v>
      </c>
      <c r="D17" s="1" t="s">
        <v>88</v>
      </c>
      <c r="E17" t="s">
        <v>36</v>
      </c>
      <c r="F17" t="s">
        <v>37</v>
      </c>
      <c r="G17" t="s">
        <v>38</v>
      </c>
      <c r="H17" s="1" t="s">
        <v>39</v>
      </c>
      <c r="I17" s="1" t="s">
        <v>40</v>
      </c>
      <c r="J17" t="s">
        <v>41</v>
      </c>
      <c r="K17" s="1" t="s">
        <v>42</v>
      </c>
      <c r="L17" s="2">
        <v>2710</v>
      </c>
      <c r="M17" s="3">
        <v>3.2</v>
      </c>
      <c r="N17" s="4">
        <v>1.7549999999999999</v>
      </c>
      <c r="O17" s="5">
        <v>1.1100000000000001</v>
      </c>
      <c r="P17" s="5"/>
      <c r="Q17" s="6"/>
      <c r="R17" s="5">
        <v>44.16</v>
      </c>
      <c r="S17" s="7">
        <f>T17*'Calculations &amp; Methodology'!D$16</f>
        <v>84698.795300677011</v>
      </c>
      <c r="T17" s="2">
        <v>91850</v>
      </c>
      <c r="U17" s="3">
        <v>1.1000000000000001</v>
      </c>
      <c r="V17" s="5">
        <v>36.229999999999997</v>
      </c>
      <c r="W17" s="5">
        <v>38.33</v>
      </c>
      <c r="X17" s="5">
        <v>44.33</v>
      </c>
      <c r="Y17" s="5">
        <v>49.11</v>
      </c>
      <c r="Z17" s="5">
        <v>53.67</v>
      </c>
      <c r="AA17" s="2">
        <v>75360</v>
      </c>
      <c r="AB17" s="2">
        <v>79720</v>
      </c>
      <c r="AC17" s="2">
        <v>92200</v>
      </c>
      <c r="AD17" s="2">
        <v>102150</v>
      </c>
      <c r="AE17" s="2">
        <v>111630</v>
      </c>
      <c r="AF17" s="1" t="s">
        <v>43</v>
      </c>
      <c r="AG17" s="1" t="s">
        <v>43</v>
      </c>
      <c r="AH17" s="8">
        <f t="shared" si="0"/>
        <v>640591.79030067706</v>
      </c>
    </row>
    <row r="18" spans="1:34" x14ac:dyDescent="0.25">
      <c r="A18" t="s">
        <v>89</v>
      </c>
      <c r="B18" t="s">
        <v>90</v>
      </c>
      <c r="C18" s="1" t="s">
        <v>34</v>
      </c>
      <c r="D18" s="1" t="s">
        <v>91</v>
      </c>
      <c r="E18" t="s">
        <v>36</v>
      </c>
      <c r="F18" t="s">
        <v>37</v>
      </c>
      <c r="G18" t="s">
        <v>38</v>
      </c>
      <c r="H18" s="1" t="s">
        <v>39</v>
      </c>
      <c r="I18" s="1" t="s">
        <v>40</v>
      </c>
      <c r="J18" t="s">
        <v>41</v>
      </c>
      <c r="K18" s="1" t="s">
        <v>42</v>
      </c>
      <c r="L18" s="2">
        <v>2850</v>
      </c>
      <c r="M18" s="3">
        <v>7.2</v>
      </c>
      <c r="N18" s="4">
        <v>2.0179999999999998</v>
      </c>
      <c r="O18" s="5">
        <v>1.27</v>
      </c>
      <c r="P18" s="5"/>
      <c r="Q18" s="6"/>
      <c r="R18" s="5">
        <v>45.09</v>
      </c>
      <c r="S18" s="7">
        <f>T18*'Calculations &amp; Methodology'!D$16</f>
        <v>86478.530465949822</v>
      </c>
      <c r="T18" s="2">
        <v>93780</v>
      </c>
      <c r="U18" s="3">
        <v>1.6</v>
      </c>
      <c r="V18" s="5">
        <v>31.52</v>
      </c>
      <c r="W18" s="5">
        <v>37.520000000000003</v>
      </c>
      <c r="X18" s="5">
        <v>46.05</v>
      </c>
      <c r="Y18" s="5">
        <v>51.03</v>
      </c>
      <c r="Z18" s="5">
        <v>58.55</v>
      </c>
      <c r="AA18" s="2">
        <v>65560</v>
      </c>
      <c r="AB18" s="2">
        <v>78040</v>
      </c>
      <c r="AC18" s="2">
        <v>95790</v>
      </c>
      <c r="AD18" s="2">
        <v>106140</v>
      </c>
      <c r="AE18" s="2">
        <v>121780</v>
      </c>
      <c r="AF18" s="1" t="s">
        <v>43</v>
      </c>
      <c r="AG18" s="1" t="s">
        <v>43</v>
      </c>
      <c r="AH18" s="8">
        <f t="shared" si="0"/>
        <v>650700.37846594979</v>
      </c>
    </row>
    <row r="19" spans="1:34" x14ac:dyDescent="0.25">
      <c r="A19" t="s">
        <v>92</v>
      </c>
      <c r="B19" t="s">
        <v>93</v>
      </c>
      <c r="C19" s="1" t="s">
        <v>34</v>
      </c>
      <c r="D19" s="1" t="s">
        <v>94</v>
      </c>
      <c r="E19" t="s">
        <v>36</v>
      </c>
      <c r="F19" t="s">
        <v>37</v>
      </c>
      <c r="G19" t="s">
        <v>38</v>
      </c>
      <c r="H19" s="1" t="s">
        <v>39</v>
      </c>
      <c r="I19" s="1" t="s">
        <v>40</v>
      </c>
      <c r="J19" t="s">
        <v>41</v>
      </c>
      <c r="K19" s="1" t="s">
        <v>42</v>
      </c>
      <c r="L19" s="2">
        <v>3530</v>
      </c>
      <c r="M19" s="3">
        <v>5</v>
      </c>
      <c r="N19" s="4">
        <v>1.798</v>
      </c>
      <c r="O19" s="5">
        <v>1.1299999999999999</v>
      </c>
      <c r="P19" s="5"/>
      <c r="Q19" s="6"/>
      <c r="R19" s="5">
        <v>42.06</v>
      </c>
      <c r="S19" s="7">
        <f>T19*'Calculations &amp; Methodology'!D$16</f>
        <v>80669.032258064515</v>
      </c>
      <c r="T19" s="2">
        <v>87480</v>
      </c>
      <c r="U19" s="3">
        <v>2.5</v>
      </c>
      <c r="V19" s="5">
        <v>21.68</v>
      </c>
      <c r="W19" s="5">
        <v>35.950000000000003</v>
      </c>
      <c r="X19" s="5">
        <v>42.62</v>
      </c>
      <c r="Y19" s="5">
        <v>49.69</v>
      </c>
      <c r="Z19" s="5">
        <v>57.78</v>
      </c>
      <c r="AA19" s="2">
        <v>45100</v>
      </c>
      <c r="AB19" s="2">
        <v>74780</v>
      </c>
      <c r="AC19" s="2">
        <v>88640</v>
      </c>
      <c r="AD19" s="2">
        <v>103360</v>
      </c>
      <c r="AE19" s="2">
        <v>120190</v>
      </c>
      <c r="AF19" s="1" t="s">
        <v>43</v>
      </c>
      <c r="AG19" s="1" t="s">
        <v>43</v>
      </c>
      <c r="AH19" s="8">
        <f t="shared" si="0"/>
        <v>604009.24025806447</v>
      </c>
    </row>
    <row r="20" spans="1:34" x14ac:dyDescent="0.25">
      <c r="A20" t="s">
        <v>95</v>
      </c>
      <c r="B20" t="s">
        <v>96</v>
      </c>
      <c r="C20" s="1" t="s">
        <v>34</v>
      </c>
      <c r="D20" s="1" t="s">
        <v>97</v>
      </c>
      <c r="E20" t="s">
        <v>36</v>
      </c>
      <c r="F20" t="s">
        <v>37</v>
      </c>
      <c r="G20" t="s">
        <v>38</v>
      </c>
      <c r="H20" s="1" t="s">
        <v>39</v>
      </c>
      <c r="I20" s="1" t="s">
        <v>40</v>
      </c>
      <c r="J20" t="s">
        <v>41</v>
      </c>
      <c r="K20" s="1" t="s">
        <v>42</v>
      </c>
      <c r="L20" s="2">
        <v>2720</v>
      </c>
      <c r="M20" s="3">
        <v>3.9</v>
      </c>
      <c r="N20" s="4">
        <v>1.4670000000000001</v>
      </c>
      <c r="O20" s="5">
        <v>0.93</v>
      </c>
      <c r="P20" s="5"/>
      <c r="Q20" s="6"/>
      <c r="R20" s="5">
        <v>47.04</v>
      </c>
      <c r="S20" s="7">
        <f>T20*'Calculations &amp; Methodology'!D$16</f>
        <v>90213.207885304655</v>
      </c>
      <c r="T20" s="2">
        <v>97830</v>
      </c>
      <c r="U20" s="3">
        <v>1.4</v>
      </c>
      <c r="V20" s="5">
        <v>29.77</v>
      </c>
      <c r="W20" s="5">
        <v>38.61</v>
      </c>
      <c r="X20" s="5">
        <v>47.56</v>
      </c>
      <c r="Y20" s="5">
        <v>53.75</v>
      </c>
      <c r="Z20" s="5">
        <v>63.31</v>
      </c>
      <c r="AA20" s="2">
        <v>61930</v>
      </c>
      <c r="AB20" s="2">
        <v>80300</v>
      </c>
      <c r="AC20" s="2">
        <v>98920</v>
      </c>
      <c r="AD20" s="2">
        <v>111800</v>
      </c>
      <c r="AE20" s="2">
        <v>131680</v>
      </c>
      <c r="AF20" s="1" t="s">
        <v>43</v>
      </c>
      <c r="AG20" s="1" t="s">
        <v>43</v>
      </c>
      <c r="AH20" s="8">
        <f t="shared" si="0"/>
        <v>675680.94488530466</v>
      </c>
    </row>
    <row r="21" spans="1:34" x14ac:dyDescent="0.25">
      <c r="A21" t="s">
        <v>98</v>
      </c>
      <c r="B21" t="s">
        <v>99</v>
      </c>
      <c r="C21" s="1" t="s">
        <v>34</v>
      </c>
      <c r="D21" s="1" t="s">
        <v>100</v>
      </c>
      <c r="E21" t="s">
        <v>36</v>
      </c>
      <c r="F21" t="s">
        <v>37</v>
      </c>
      <c r="G21" t="s">
        <v>38</v>
      </c>
      <c r="H21" s="1" t="s">
        <v>39</v>
      </c>
      <c r="I21" s="1" t="s">
        <v>40</v>
      </c>
      <c r="J21" t="s">
        <v>41</v>
      </c>
      <c r="K21" s="1" t="s">
        <v>42</v>
      </c>
      <c r="L21" s="2">
        <v>1450</v>
      </c>
      <c r="M21" s="3">
        <v>7.3</v>
      </c>
      <c r="N21" s="4">
        <v>2.3260000000000001</v>
      </c>
      <c r="O21" s="5">
        <v>1.47</v>
      </c>
      <c r="P21" s="5"/>
      <c r="Q21" s="6"/>
      <c r="R21" s="5">
        <v>44.1</v>
      </c>
      <c r="S21" s="7">
        <f>T21*'Calculations &amp; Methodology'!D$16</f>
        <v>84578.916766228591</v>
      </c>
      <c r="T21" s="2">
        <v>91720</v>
      </c>
      <c r="U21" s="3">
        <v>1</v>
      </c>
      <c r="V21" s="5">
        <v>36.24</v>
      </c>
      <c r="W21" s="5">
        <v>38.74</v>
      </c>
      <c r="X21" s="5">
        <v>43.55</v>
      </c>
      <c r="Y21" s="5">
        <v>48.73</v>
      </c>
      <c r="Z21" s="5">
        <v>52.8</v>
      </c>
      <c r="AA21" s="2">
        <v>75370</v>
      </c>
      <c r="AB21" s="2">
        <v>80580</v>
      </c>
      <c r="AC21" s="2">
        <v>90590</v>
      </c>
      <c r="AD21" s="2">
        <v>101360</v>
      </c>
      <c r="AE21" s="2">
        <v>109820</v>
      </c>
      <c r="AF21" s="1" t="s">
        <v>43</v>
      </c>
      <c r="AG21" s="1" t="s">
        <v>43</v>
      </c>
      <c r="AH21" s="8">
        <f t="shared" si="0"/>
        <v>635745.17276622856</v>
      </c>
    </row>
    <row r="22" spans="1:34" x14ac:dyDescent="0.25">
      <c r="A22" t="s">
        <v>101</v>
      </c>
      <c r="B22" t="s">
        <v>102</v>
      </c>
      <c r="C22" s="1" t="s">
        <v>34</v>
      </c>
      <c r="D22" s="1" t="s">
        <v>103</v>
      </c>
      <c r="E22" t="s">
        <v>36</v>
      </c>
      <c r="F22" t="s">
        <v>37</v>
      </c>
      <c r="G22" t="s">
        <v>38</v>
      </c>
      <c r="H22" s="1" t="s">
        <v>39</v>
      </c>
      <c r="I22" s="1" t="s">
        <v>40</v>
      </c>
      <c r="J22" t="s">
        <v>41</v>
      </c>
      <c r="K22" s="1" t="s">
        <v>42</v>
      </c>
      <c r="L22" s="2">
        <v>4070</v>
      </c>
      <c r="M22" s="3">
        <v>7.4</v>
      </c>
      <c r="N22" s="4">
        <v>1.52</v>
      </c>
      <c r="O22" s="5">
        <v>0.96</v>
      </c>
      <c r="P22" s="5"/>
      <c r="Q22" s="6"/>
      <c r="R22" s="5">
        <v>50.73</v>
      </c>
      <c r="S22" s="7">
        <f>T22*'Calculations &amp; Methodology'!D$16</f>
        <v>97304.484269215449</v>
      </c>
      <c r="T22" s="2">
        <v>105520</v>
      </c>
      <c r="U22" s="3">
        <v>1.5</v>
      </c>
      <c r="V22" s="5">
        <v>38.31</v>
      </c>
      <c r="W22" s="5">
        <v>45.24</v>
      </c>
      <c r="X22" s="5">
        <v>49.05</v>
      </c>
      <c r="Y22" s="5">
        <v>57.47</v>
      </c>
      <c r="Z22" s="5">
        <v>62.6</v>
      </c>
      <c r="AA22" s="2">
        <v>79670</v>
      </c>
      <c r="AB22" s="2">
        <v>94100</v>
      </c>
      <c r="AC22" s="2">
        <v>102020</v>
      </c>
      <c r="AD22" s="2">
        <v>119530</v>
      </c>
      <c r="AE22" s="2">
        <v>130220</v>
      </c>
      <c r="AF22" s="1" t="s">
        <v>43</v>
      </c>
      <c r="AG22" s="1" t="s">
        <v>43</v>
      </c>
      <c r="AH22" s="8">
        <f t="shared" si="0"/>
        <v>732749.2642692154</v>
      </c>
    </row>
    <row r="23" spans="1:34" x14ac:dyDescent="0.25">
      <c r="A23" t="s">
        <v>104</v>
      </c>
      <c r="B23" t="s">
        <v>105</v>
      </c>
      <c r="C23" s="1" t="s">
        <v>34</v>
      </c>
      <c r="D23" s="1" t="s">
        <v>106</v>
      </c>
      <c r="E23" t="s">
        <v>36</v>
      </c>
      <c r="F23" t="s">
        <v>37</v>
      </c>
      <c r="G23" t="s">
        <v>38</v>
      </c>
      <c r="H23" s="1" t="s">
        <v>39</v>
      </c>
      <c r="I23" s="1" t="s">
        <v>40</v>
      </c>
      <c r="J23" t="s">
        <v>41</v>
      </c>
      <c r="K23" s="1" t="s">
        <v>42</v>
      </c>
      <c r="L23" s="2">
        <v>7070</v>
      </c>
      <c r="M23" s="3">
        <v>4.0999999999999996</v>
      </c>
      <c r="N23" s="4">
        <v>1.9410000000000001</v>
      </c>
      <c r="O23" s="5">
        <v>1.22</v>
      </c>
      <c r="P23" s="5"/>
      <c r="Q23" s="6"/>
      <c r="R23" s="5">
        <v>47.93</v>
      </c>
      <c r="S23" s="7">
        <f>T23*'Calculations &amp; Methodology'!D$16</f>
        <v>91937.614496216644</v>
      </c>
      <c r="T23" s="2">
        <v>99700</v>
      </c>
      <c r="U23" s="3">
        <v>0.9</v>
      </c>
      <c r="V23" s="5">
        <v>36.06</v>
      </c>
      <c r="W23" s="5">
        <v>39.6</v>
      </c>
      <c r="X23" s="5">
        <v>48.31</v>
      </c>
      <c r="Y23" s="5">
        <v>55.19</v>
      </c>
      <c r="Z23" s="5">
        <v>59.73</v>
      </c>
      <c r="AA23" s="2">
        <v>75010</v>
      </c>
      <c r="AB23" s="2">
        <v>82370</v>
      </c>
      <c r="AC23" s="2">
        <v>100470</v>
      </c>
      <c r="AD23" s="2">
        <v>114800</v>
      </c>
      <c r="AE23" s="2">
        <v>124250</v>
      </c>
      <c r="AF23" s="1" t="s">
        <v>43</v>
      </c>
      <c r="AG23" s="1" t="s">
        <v>43</v>
      </c>
      <c r="AH23" s="8">
        <f t="shared" si="0"/>
        <v>695902.59549621667</v>
      </c>
    </row>
    <row r="24" spans="1:34" x14ac:dyDescent="0.25">
      <c r="A24" t="s">
        <v>107</v>
      </c>
      <c r="B24" t="s">
        <v>108</v>
      </c>
      <c r="C24" s="1" t="s">
        <v>34</v>
      </c>
      <c r="D24" s="1" t="s">
        <v>109</v>
      </c>
      <c r="E24" t="s">
        <v>36</v>
      </c>
      <c r="F24" t="s">
        <v>37</v>
      </c>
      <c r="G24" t="s">
        <v>38</v>
      </c>
      <c r="H24" s="1" t="s">
        <v>39</v>
      </c>
      <c r="I24" s="1" t="s">
        <v>40</v>
      </c>
      <c r="J24" t="s">
        <v>41</v>
      </c>
      <c r="K24" s="1" t="s">
        <v>42</v>
      </c>
      <c r="L24" s="2">
        <v>6700</v>
      </c>
      <c r="M24" s="3">
        <v>3.4</v>
      </c>
      <c r="N24" s="4">
        <v>1.54</v>
      </c>
      <c r="O24" s="5">
        <v>0.97</v>
      </c>
      <c r="P24" s="5"/>
      <c r="Q24" s="6"/>
      <c r="R24" s="5">
        <v>45.89</v>
      </c>
      <c r="S24" s="7">
        <f>T24*'Calculations &amp; Methodology'!D$16</f>
        <v>88018.508562325762</v>
      </c>
      <c r="T24" s="2">
        <v>95450</v>
      </c>
      <c r="U24" s="3">
        <v>1</v>
      </c>
      <c r="V24" s="5">
        <v>35.840000000000003</v>
      </c>
      <c r="W24" s="5">
        <v>39.6</v>
      </c>
      <c r="X24" s="5">
        <v>47.7</v>
      </c>
      <c r="Y24" s="5">
        <v>50.67</v>
      </c>
      <c r="Z24" s="5">
        <v>56.61</v>
      </c>
      <c r="AA24" s="2">
        <v>74550</v>
      </c>
      <c r="AB24" s="2">
        <v>82360</v>
      </c>
      <c r="AC24" s="2">
        <v>99220</v>
      </c>
      <c r="AD24" s="2">
        <v>105380</v>
      </c>
      <c r="AE24" s="2">
        <v>117740</v>
      </c>
      <c r="AF24" s="1" t="s">
        <v>43</v>
      </c>
      <c r="AG24" s="1" t="s">
        <v>43</v>
      </c>
      <c r="AH24" s="8">
        <f t="shared" si="0"/>
        <v>669701.72856232582</v>
      </c>
    </row>
    <row r="25" spans="1:34" x14ac:dyDescent="0.25">
      <c r="A25" t="s">
        <v>110</v>
      </c>
      <c r="B25" t="s">
        <v>111</v>
      </c>
      <c r="C25" s="1" t="s">
        <v>34</v>
      </c>
      <c r="D25" s="1" t="s">
        <v>112</v>
      </c>
      <c r="E25" t="s">
        <v>36</v>
      </c>
      <c r="F25" t="s">
        <v>37</v>
      </c>
      <c r="G25" t="s">
        <v>38</v>
      </c>
      <c r="H25" s="1" t="s">
        <v>39</v>
      </c>
      <c r="I25" s="1" t="s">
        <v>40</v>
      </c>
      <c r="J25" t="s">
        <v>41</v>
      </c>
      <c r="K25" s="1" t="s">
        <v>42</v>
      </c>
      <c r="L25" s="2">
        <v>4140</v>
      </c>
      <c r="M25" s="3">
        <v>6.3</v>
      </c>
      <c r="N25" s="4">
        <v>1.4359999999999999</v>
      </c>
      <c r="O25" s="5">
        <v>0.91</v>
      </c>
      <c r="P25" s="5"/>
      <c r="Q25" s="6"/>
      <c r="R25" s="5">
        <v>47.05</v>
      </c>
      <c r="S25" s="7">
        <f>T25*'Calculations &amp; Methodology'!D$16</f>
        <v>90240.872162485059</v>
      </c>
      <c r="T25" s="2">
        <v>97860</v>
      </c>
      <c r="U25" s="3">
        <v>3.1</v>
      </c>
      <c r="V25" s="5">
        <v>38.11</v>
      </c>
      <c r="W25" s="5">
        <v>41.3</v>
      </c>
      <c r="X25" s="5">
        <v>46.42</v>
      </c>
      <c r="Y25" s="5">
        <v>49.05</v>
      </c>
      <c r="Z25" s="5">
        <v>54.03</v>
      </c>
      <c r="AA25" s="2">
        <v>79270</v>
      </c>
      <c r="AB25" s="2">
        <v>85890</v>
      </c>
      <c r="AC25" s="2">
        <v>96560</v>
      </c>
      <c r="AD25" s="2">
        <v>102020</v>
      </c>
      <c r="AE25" s="2">
        <v>112370</v>
      </c>
      <c r="AF25" s="1" t="s">
        <v>43</v>
      </c>
      <c r="AG25" s="1" t="s">
        <v>43</v>
      </c>
      <c r="AH25" s="8">
        <f t="shared" si="0"/>
        <v>668638.57816248504</v>
      </c>
    </row>
    <row r="26" spans="1:34" x14ac:dyDescent="0.25">
      <c r="A26" t="s">
        <v>113</v>
      </c>
      <c r="B26" t="s">
        <v>114</v>
      </c>
      <c r="C26" s="1" t="s">
        <v>34</v>
      </c>
      <c r="D26" s="1" t="s">
        <v>115</v>
      </c>
      <c r="E26" t="s">
        <v>36</v>
      </c>
      <c r="F26" t="s">
        <v>37</v>
      </c>
      <c r="G26" t="s">
        <v>38</v>
      </c>
      <c r="H26" s="1" t="s">
        <v>39</v>
      </c>
      <c r="I26" s="1" t="s">
        <v>40</v>
      </c>
      <c r="J26" t="s">
        <v>41</v>
      </c>
      <c r="K26" s="1" t="s">
        <v>42</v>
      </c>
      <c r="L26" s="2">
        <v>1840</v>
      </c>
      <c r="M26" s="3">
        <v>4.5</v>
      </c>
      <c r="N26" s="4">
        <v>1.6020000000000001</v>
      </c>
      <c r="O26" s="5">
        <v>1.01</v>
      </c>
      <c r="P26" s="5"/>
      <c r="Q26" s="6"/>
      <c r="R26" s="5">
        <v>45.79</v>
      </c>
      <c r="S26" s="7">
        <f>T26*'Calculations &amp; Methodology'!D$16</f>
        <v>87815.637196336116</v>
      </c>
      <c r="T26" s="2">
        <v>95230</v>
      </c>
      <c r="U26" s="3">
        <v>1.4</v>
      </c>
      <c r="V26" s="5">
        <v>31.96</v>
      </c>
      <c r="W26" s="5">
        <v>37.82</v>
      </c>
      <c r="X26" s="5">
        <v>46.36</v>
      </c>
      <c r="Y26" s="5">
        <v>50.22</v>
      </c>
      <c r="Z26" s="5">
        <v>59.07</v>
      </c>
      <c r="AA26" s="2">
        <v>66470</v>
      </c>
      <c r="AB26" s="2">
        <v>78660</v>
      </c>
      <c r="AC26" s="2">
        <v>96430</v>
      </c>
      <c r="AD26" s="2">
        <v>104450</v>
      </c>
      <c r="AE26" s="2">
        <v>122860</v>
      </c>
      <c r="AF26" s="1" t="s">
        <v>43</v>
      </c>
      <c r="AG26" s="1" t="s">
        <v>43</v>
      </c>
      <c r="AH26" s="8">
        <f t="shared" si="0"/>
        <v>654035.36919633613</v>
      </c>
    </row>
    <row r="27" spans="1:34" x14ac:dyDescent="0.25">
      <c r="A27" t="s">
        <v>116</v>
      </c>
      <c r="B27" t="s">
        <v>117</v>
      </c>
      <c r="C27" s="1" t="s">
        <v>34</v>
      </c>
      <c r="D27" s="1" t="s">
        <v>118</v>
      </c>
      <c r="E27" t="s">
        <v>36</v>
      </c>
      <c r="F27" t="s">
        <v>37</v>
      </c>
      <c r="G27" t="s">
        <v>38</v>
      </c>
      <c r="H27" s="1" t="s">
        <v>39</v>
      </c>
      <c r="I27" s="1" t="s">
        <v>40</v>
      </c>
      <c r="J27" t="s">
        <v>41</v>
      </c>
      <c r="K27" s="1" t="s">
        <v>42</v>
      </c>
      <c r="L27" s="2">
        <v>4650</v>
      </c>
      <c r="M27" s="3">
        <v>3.9</v>
      </c>
      <c r="N27" s="4">
        <v>1.6160000000000001</v>
      </c>
      <c r="O27" s="5">
        <v>1.02</v>
      </c>
      <c r="P27" s="5"/>
      <c r="Q27" s="6"/>
      <c r="R27" s="5">
        <v>43.77</v>
      </c>
      <c r="S27" s="7">
        <f>T27*'Calculations &amp; Methodology'!D$16</f>
        <v>83942.63839107925</v>
      </c>
      <c r="T27" s="2">
        <v>91030</v>
      </c>
      <c r="U27" s="3">
        <v>1.1000000000000001</v>
      </c>
      <c r="V27" s="5">
        <v>30.41</v>
      </c>
      <c r="W27" s="5">
        <v>36.630000000000003</v>
      </c>
      <c r="X27" s="5">
        <v>44.3</v>
      </c>
      <c r="Y27" s="5">
        <v>50.21</v>
      </c>
      <c r="Z27" s="5">
        <v>55.71</v>
      </c>
      <c r="AA27" s="2">
        <v>63240</v>
      </c>
      <c r="AB27" s="2">
        <v>76180</v>
      </c>
      <c r="AC27" s="2">
        <v>92140</v>
      </c>
      <c r="AD27" s="2">
        <v>104450</v>
      </c>
      <c r="AE27" s="2">
        <v>115870</v>
      </c>
      <c r="AF27" s="1" t="s">
        <v>43</v>
      </c>
      <c r="AG27" s="1" t="s">
        <v>43</v>
      </c>
      <c r="AH27" s="8">
        <f t="shared" si="0"/>
        <v>631771.30439107923</v>
      </c>
    </row>
    <row r="28" spans="1:34" x14ac:dyDescent="0.25">
      <c r="A28" t="s">
        <v>119</v>
      </c>
      <c r="B28" t="s">
        <v>120</v>
      </c>
      <c r="C28" s="1" t="s">
        <v>34</v>
      </c>
      <c r="D28" s="1" t="s">
        <v>121</v>
      </c>
      <c r="E28" t="s">
        <v>36</v>
      </c>
      <c r="F28" t="s">
        <v>37</v>
      </c>
      <c r="G28" t="s">
        <v>38</v>
      </c>
      <c r="H28" s="1" t="s">
        <v>39</v>
      </c>
      <c r="I28" s="1" t="s">
        <v>40</v>
      </c>
      <c r="J28" t="s">
        <v>41</v>
      </c>
      <c r="K28" s="1" t="s">
        <v>42</v>
      </c>
      <c r="L28" s="2">
        <v>1210</v>
      </c>
      <c r="M28" s="3">
        <v>4.0999999999999996</v>
      </c>
      <c r="N28" s="4">
        <v>2.4180000000000001</v>
      </c>
      <c r="O28" s="5">
        <v>1.52</v>
      </c>
      <c r="P28" s="5"/>
      <c r="Q28" s="6"/>
      <c r="R28" s="5">
        <v>41.13</v>
      </c>
      <c r="S28" s="7">
        <f>T28*'Calculations &amp; Methodology'!D$16</f>
        <v>78889.297092791719</v>
      </c>
      <c r="T28" s="2">
        <v>85550</v>
      </c>
      <c r="U28" s="3">
        <v>2.1</v>
      </c>
      <c r="V28" s="5">
        <v>31.54</v>
      </c>
      <c r="W28" s="5">
        <v>37.479999999999997</v>
      </c>
      <c r="X28" s="5">
        <v>40.869999999999997</v>
      </c>
      <c r="Y28" s="5">
        <v>47.28</v>
      </c>
      <c r="Z28" s="5">
        <v>51.64</v>
      </c>
      <c r="AA28" s="2">
        <v>65590</v>
      </c>
      <c r="AB28" s="2">
        <v>77960</v>
      </c>
      <c r="AC28" s="2">
        <v>85020</v>
      </c>
      <c r="AD28" s="2">
        <v>98340</v>
      </c>
      <c r="AE28" s="2">
        <v>107420</v>
      </c>
      <c r="AF28" s="1" t="s">
        <v>43</v>
      </c>
      <c r="AG28" s="1" t="s">
        <v>43</v>
      </c>
      <c r="AH28" s="8">
        <f t="shared" si="0"/>
        <v>600239.37509279174</v>
      </c>
    </row>
    <row r="29" spans="1:34" x14ac:dyDescent="0.25">
      <c r="A29" t="s">
        <v>122</v>
      </c>
      <c r="B29" t="s">
        <v>123</v>
      </c>
      <c r="C29" s="1" t="s">
        <v>34</v>
      </c>
      <c r="D29" s="1" t="s">
        <v>124</v>
      </c>
      <c r="E29" t="s">
        <v>36</v>
      </c>
      <c r="F29" t="s">
        <v>37</v>
      </c>
      <c r="G29" t="s">
        <v>38</v>
      </c>
      <c r="H29" s="1" t="s">
        <v>39</v>
      </c>
      <c r="I29" s="1" t="s">
        <v>40</v>
      </c>
      <c r="J29" t="s">
        <v>41</v>
      </c>
      <c r="K29" s="1" t="s">
        <v>42</v>
      </c>
      <c r="L29" s="2">
        <v>1650</v>
      </c>
      <c r="M29" s="3">
        <v>6.5</v>
      </c>
      <c r="N29" s="4">
        <v>1.651</v>
      </c>
      <c r="O29" s="5">
        <v>1.04</v>
      </c>
      <c r="P29" s="5"/>
      <c r="Q29" s="6"/>
      <c r="R29" s="5">
        <v>43.69</v>
      </c>
      <c r="S29" s="7">
        <f>T29*'Calculations &amp; Methodology'!D$16</f>
        <v>83795.095579450412</v>
      </c>
      <c r="T29" s="2">
        <v>90870</v>
      </c>
      <c r="U29" s="3">
        <v>2.2999999999999998</v>
      </c>
      <c r="V29" s="5">
        <v>32.42</v>
      </c>
      <c r="W29" s="5">
        <v>37.43</v>
      </c>
      <c r="X29" s="5">
        <v>44.56</v>
      </c>
      <c r="Y29" s="5">
        <v>48.42</v>
      </c>
      <c r="Z29" s="5">
        <v>52.83</v>
      </c>
      <c r="AA29" s="2">
        <v>67440</v>
      </c>
      <c r="AB29" s="2">
        <v>77860</v>
      </c>
      <c r="AC29" s="2">
        <v>92680</v>
      </c>
      <c r="AD29" s="2">
        <v>100720</v>
      </c>
      <c r="AE29" s="2">
        <v>109880</v>
      </c>
      <c r="AF29" s="1" t="s">
        <v>43</v>
      </c>
      <c r="AG29" s="1" t="s">
        <v>43</v>
      </c>
      <c r="AH29" s="8">
        <f t="shared" si="0"/>
        <v>625165.93657945038</v>
      </c>
    </row>
    <row r="30" spans="1:34" x14ac:dyDescent="0.25">
      <c r="A30" t="s">
        <v>125</v>
      </c>
      <c r="B30" t="s">
        <v>126</v>
      </c>
      <c r="C30" s="1" t="s">
        <v>34</v>
      </c>
      <c r="D30" s="1" t="s">
        <v>127</v>
      </c>
      <c r="E30" t="s">
        <v>36</v>
      </c>
      <c r="F30" t="s">
        <v>37</v>
      </c>
      <c r="G30" t="s">
        <v>38</v>
      </c>
      <c r="H30" s="1" t="s">
        <v>39</v>
      </c>
      <c r="I30" s="1" t="s">
        <v>40</v>
      </c>
      <c r="J30" t="s">
        <v>41</v>
      </c>
      <c r="K30" s="1" t="s">
        <v>42</v>
      </c>
      <c r="L30" s="2">
        <v>1880</v>
      </c>
      <c r="M30" s="3">
        <v>7.8</v>
      </c>
      <c r="N30" s="4">
        <v>1.266</v>
      </c>
      <c r="O30" s="5">
        <v>0.8</v>
      </c>
      <c r="P30" s="5"/>
      <c r="Q30" s="6"/>
      <c r="R30" s="5">
        <v>53.59</v>
      </c>
      <c r="S30" s="7">
        <f>T30*'Calculations &amp; Methodology'!D$16</f>
        <v>102782.01115093588</v>
      </c>
      <c r="T30" s="2">
        <v>111460</v>
      </c>
      <c r="U30" s="3">
        <v>4.3</v>
      </c>
      <c r="V30" s="5">
        <v>31</v>
      </c>
      <c r="W30" s="5">
        <v>44.35</v>
      </c>
      <c r="X30" s="5">
        <v>50</v>
      </c>
      <c r="Y30" s="5">
        <v>60.9</v>
      </c>
      <c r="Z30" s="5">
        <v>86.32</v>
      </c>
      <c r="AA30" s="2">
        <v>64470</v>
      </c>
      <c r="AB30" s="2">
        <v>92240</v>
      </c>
      <c r="AC30" s="2">
        <v>104000</v>
      </c>
      <c r="AD30" s="2">
        <v>126670</v>
      </c>
      <c r="AE30" s="2">
        <v>179550</v>
      </c>
      <c r="AF30" s="1" t="s">
        <v>43</v>
      </c>
      <c r="AG30" s="1" t="s">
        <v>43</v>
      </c>
      <c r="AH30" s="8">
        <f t="shared" si="0"/>
        <v>783392.3371509359</v>
      </c>
    </row>
    <row r="31" spans="1:34" x14ac:dyDescent="0.25">
      <c r="A31" t="s">
        <v>128</v>
      </c>
      <c r="B31" t="s">
        <v>129</v>
      </c>
      <c r="C31" s="1" t="s">
        <v>34</v>
      </c>
      <c r="D31" s="1" t="s">
        <v>130</v>
      </c>
      <c r="E31" t="s">
        <v>36</v>
      </c>
      <c r="F31" t="s">
        <v>37</v>
      </c>
      <c r="G31" t="s">
        <v>38</v>
      </c>
      <c r="H31" s="1" t="s">
        <v>39</v>
      </c>
      <c r="I31" s="1" t="s">
        <v>40</v>
      </c>
      <c r="J31" t="s">
        <v>41</v>
      </c>
      <c r="K31" s="1" t="s">
        <v>42</v>
      </c>
      <c r="L31" s="2">
        <v>1300</v>
      </c>
      <c r="M31" s="3">
        <v>5</v>
      </c>
      <c r="N31" s="4">
        <v>1.9259999999999999</v>
      </c>
      <c r="O31" s="5">
        <v>1.21</v>
      </c>
      <c r="P31" s="5"/>
      <c r="Q31" s="6"/>
      <c r="R31" s="5">
        <v>45.78</v>
      </c>
      <c r="S31" s="7">
        <f>T31*'Calculations &amp; Methodology'!D$16</f>
        <v>87806.41577060931</v>
      </c>
      <c r="T31" s="2">
        <v>95220</v>
      </c>
      <c r="U31" s="3">
        <v>1.1000000000000001</v>
      </c>
      <c r="V31" s="5">
        <v>37.479999999999997</v>
      </c>
      <c r="W31" s="5">
        <v>39.46</v>
      </c>
      <c r="X31" s="5">
        <v>46.52</v>
      </c>
      <c r="Y31" s="5">
        <v>50.67</v>
      </c>
      <c r="Z31" s="5">
        <v>54.18</v>
      </c>
      <c r="AA31" s="2">
        <v>77960</v>
      </c>
      <c r="AB31" s="2">
        <v>82070</v>
      </c>
      <c r="AC31" s="2">
        <v>96760</v>
      </c>
      <c r="AD31" s="2">
        <v>105390</v>
      </c>
      <c r="AE31" s="2">
        <v>112690</v>
      </c>
      <c r="AF31" s="1" t="s">
        <v>43</v>
      </c>
      <c r="AG31" s="1" t="s">
        <v>43</v>
      </c>
      <c r="AH31" s="8">
        <f t="shared" si="0"/>
        <v>659479.74177060928</v>
      </c>
    </row>
    <row r="32" spans="1:34" x14ac:dyDescent="0.25">
      <c r="A32" t="s">
        <v>131</v>
      </c>
      <c r="B32" t="s">
        <v>132</v>
      </c>
      <c r="C32" s="1" t="s">
        <v>34</v>
      </c>
      <c r="D32" s="1" t="s">
        <v>133</v>
      </c>
      <c r="E32" t="s">
        <v>36</v>
      </c>
      <c r="F32" t="s">
        <v>37</v>
      </c>
      <c r="G32" t="s">
        <v>38</v>
      </c>
      <c r="H32" s="1" t="s">
        <v>39</v>
      </c>
      <c r="I32" s="1" t="s">
        <v>40</v>
      </c>
      <c r="J32" t="s">
        <v>41</v>
      </c>
      <c r="K32" s="1" t="s">
        <v>42</v>
      </c>
      <c r="L32" s="2">
        <v>7310</v>
      </c>
      <c r="M32" s="3">
        <v>4.8</v>
      </c>
      <c r="N32" s="4">
        <v>1.7390000000000001</v>
      </c>
      <c r="O32" s="5">
        <v>1.1000000000000001</v>
      </c>
      <c r="P32" s="5"/>
      <c r="Q32" s="6"/>
      <c r="R32" s="5">
        <v>52.54</v>
      </c>
      <c r="S32" s="7">
        <f>T32*'Calculations &amp; Methodology'!D$16</f>
        <v>100771.74034249302</v>
      </c>
      <c r="T32" s="2">
        <v>109280</v>
      </c>
      <c r="U32" s="3">
        <v>1.8</v>
      </c>
      <c r="V32" s="5">
        <v>38.869999999999997</v>
      </c>
      <c r="W32" s="5">
        <v>44.76</v>
      </c>
      <c r="X32" s="5">
        <v>50</v>
      </c>
      <c r="Y32" s="5">
        <v>59.2</v>
      </c>
      <c r="Z32" s="5">
        <v>64.319999999999993</v>
      </c>
      <c r="AA32" s="2">
        <v>80850</v>
      </c>
      <c r="AB32" s="2">
        <v>93110</v>
      </c>
      <c r="AC32" s="2">
        <v>104010</v>
      </c>
      <c r="AD32" s="2">
        <v>123140</v>
      </c>
      <c r="AE32" s="2">
        <v>133790</v>
      </c>
      <c r="AF32" s="1" t="s">
        <v>43</v>
      </c>
      <c r="AG32" s="1" t="s">
        <v>43</v>
      </c>
      <c r="AH32" s="8">
        <f t="shared" si="0"/>
        <v>752580.86934249301</v>
      </c>
    </row>
    <row r="33" spans="1:34" x14ac:dyDescent="0.25">
      <c r="A33" t="s">
        <v>134</v>
      </c>
      <c r="B33" t="s">
        <v>135</v>
      </c>
      <c r="C33" s="1" t="s">
        <v>34</v>
      </c>
      <c r="D33" s="1" t="s">
        <v>136</v>
      </c>
      <c r="E33" t="s">
        <v>36</v>
      </c>
      <c r="F33" t="s">
        <v>37</v>
      </c>
      <c r="G33" t="s">
        <v>38</v>
      </c>
      <c r="H33" s="1" t="s">
        <v>39</v>
      </c>
      <c r="I33" s="1" t="s">
        <v>40</v>
      </c>
      <c r="J33" t="s">
        <v>41</v>
      </c>
      <c r="K33" s="1" t="s">
        <v>42</v>
      </c>
      <c r="L33" s="2">
        <v>1370</v>
      </c>
      <c r="M33" s="3">
        <v>5.2</v>
      </c>
      <c r="N33" s="4">
        <v>1.6220000000000001</v>
      </c>
      <c r="O33" s="5">
        <v>1.02</v>
      </c>
      <c r="P33" s="5"/>
      <c r="Q33" s="6"/>
      <c r="R33" s="5">
        <v>47.26</v>
      </c>
      <c r="S33" s="7">
        <f>T33*'Calculations &amp; Methodology'!D$16</f>
        <v>90637.393468737544</v>
      </c>
      <c r="T33" s="2">
        <v>98290</v>
      </c>
      <c r="U33" s="3">
        <v>1.5</v>
      </c>
      <c r="V33" s="5">
        <v>28.2</v>
      </c>
      <c r="W33" s="5">
        <v>36.840000000000003</v>
      </c>
      <c r="X33" s="5">
        <v>48.29</v>
      </c>
      <c r="Y33" s="5">
        <v>57.8</v>
      </c>
      <c r="Z33" s="5">
        <v>64.58</v>
      </c>
      <c r="AA33" s="2">
        <v>58650</v>
      </c>
      <c r="AB33" s="2">
        <v>76620</v>
      </c>
      <c r="AC33" s="2">
        <v>100450</v>
      </c>
      <c r="AD33" s="2">
        <v>120220</v>
      </c>
      <c r="AE33" s="2">
        <v>134320</v>
      </c>
      <c r="AF33" s="1" t="s">
        <v>43</v>
      </c>
      <c r="AG33" s="1" t="s">
        <v>43</v>
      </c>
      <c r="AH33" s="8">
        <f t="shared" si="0"/>
        <v>680849.70546873752</v>
      </c>
    </row>
    <row r="34" spans="1:34" x14ac:dyDescent="0.25">
      <c r="A34" t="s">
        <v>137</v>
      </c>
      <c r="B34" t="s">
        <v>138</v>
      </c>
      <c r="C34" s="1" t="s">
        <v>34</v>
      </c>
      <c r="D34" s="1" t="s">
        <v>139</v>
      </c>
      <c r="E34" t="s">
        <v>36</v>
      </c>
      <c r="F34" t="s">
        <v>37</v>
      </c>
      <c r="G34" t="s">
        <v>38</v>
      </c>
      <c r="H34" s="1" t="s">
        <v>39</v>
      </c>
      <c r="I34" s="1" t="s">
        <v>40</v>
      </c>
      <c r="J34" t="s">
        <v>41</v>
      </c>
      <c r="K34" s="1" t="s">
        <v>42</v>
      </c>
      <c r="L34" s="2">
        <v>15560</v>
      </c>
      <c r="M34" s="3">
        <v>9.6999999999999993</v>
      </c>
      <c r="N34" s="4">
        <v>1.6559999999999999</v>
      </c>
      <c r="O34" s="5">
        <v>1.04</v>
      </c>
      <c r="P34" s="5"/>
      <c r="Q34" s="6"/>
      <c r="R34" s="5">
        <v>48.47</v>
      </c>
      <c r="S34" s="7">
        <f>T34*'Calculations &amp; Methodology'!D$16</f>
        <v>92961.192751891678</v>
      </c>
      <c r="T34" s="2">
        <v>100810</v>
      </c>
      <c r="U34" s="3">
        <v>4.8</v>
      </c>
      <c r="V34" s="5">
        <v>30.73</v>
      </c>
      <c r="W34" s="5">
        <v>37.64</v>
      </c>
      <c r="X34" s="5">
        <v>47.01</v>
      </c>
      <c r="Y34" s="5">
        <v>54.73</v>
      </c>
      <c r="Z34" s="5">
        <v>63.23</v>
      </c>
      <c r="AA34" s="2">
        <v>63910</v>
      </c>
      <c r="AB34" s="2">
        <v>78290</v>
      </c>
      <c r="AC34" s="2">
        <v>97780</v>
      </c>
      <c r="AD34" s="2">
        <v>113850</v>
      </c>
      <c r="AE34" s="2">
        <v>131520</v>
      </c>
      <c r="AF34" s="1" t="s">
        <v>43</v>
      </c>
      <c r="AG34" s="1" t="s">
        <v>43</v>
      </c>
      <c r="AH34" s="8">
        <f t="shared" ref="AH34:AH65" si="1">SUM(L34:AG34)</f>
        <v>694980.19875189173</v>
      </c>
    </row>
    <row r="35" spans="1:34" x14ac:dyDescent="0.25">
      <c r="A35" t="s">
        <v>140</v>
      </c>
      <c r="B35" t="s">
        <v>141</v>
      </c>
      <c r="C35" s="1" t="s">
        <v>34</v>
      </c>
      <c r="D35" s="1" t="s">
        <v>142</v>
      </c>
      <c r="E35" t="s">
        <v>36</v>
      </c>
      <c r="F35" t="s">
        <v>37</v>
      </c>
      <c r="G35" t="s">
        <v>38</v>
      </c>
      <c r="H35" s="1" t="s">
        <v>39</v>
      </c>
      <c r="I35" s="1" t="s">
        <v>40</v>
      </c>
      <c r="J35" t="s">
        <v>41</v>
      </c>
      <c r="K35" s="1" t="s">
        <v>42</v>
      </c>
      <c r="L35" s="2">
        <v>7080</v>
      </c>
      <c r="M35" s="3">
        <v>3.5</v>
      </c>
      <c r="N35" s="4">
        <v>1.4770000000000001</v>
      </c>
      <c r="O35" s="5">
        <v>0.93</v>
      </c>
      <c r="P35" s="5"/>
      <c r="Q35" s="6"/>
      <c r="R35" s="5">
        <v>45.74</v>
      </c>
      <c r="S35" s="7">
        <f>T35*'Calculations &amp; Methodology'!D$16</f>
        <v>87741.865790521697</v>
      </c>
      <c r="T35" s="2">
        <v>95150</v>
      </c>
      <c r="U35" s="3">
        <v>1.4</v>
      </c>
      <c r="V35" s="5">
        <v>34.89</v>
      </c>
      <c r="W35" s="5">
        <v>38.22</v>
      </c>
      <c r="X35" s="5">
        <v>45.59</v>
      </c>
      <c r="Y35" s="5">
        <v>50.6</v>
      </c>
      <c r="Z35" s="5">
        <v>56.89</v>
      </c>
      <c r="AA35" s="2">
        <v>72560</v>
      </c>
      <c r="AB35" s="2">
        <v>79510</v>
      </c>
      <c r="AC35" s="2">
        <v>94830</v>
      </c>
      <c r="AD35" s="2">
        <v>105260</v>
      </c>
      <c r="AE35" s="2">
        <v>118320</v>
      </c>
      <c r="AF35" s="1" t="s">
        <v>43</v>
      </c>
      <c r="AG35" s="1" t="s">
        <v>43</v>
      </c>
      <c r="AH35" s="8">
        <f t="shared" si="1"/>
        <v>660731.10279052169</v>
      </c>
    </row>
    <row r="36" spans="1:34" x14ac:dyDescent="0.25">
      <c r="A36" t="s">
        <v>143</v>
      </c>
      <c r="B36" t="s">
        <v>144</v>
      </c>
      <c r="C36" s="1" t="s">
        <v>34</v>
      </c>
      <c r="D36" s="1" t="s">
        <v>145</v>
      </c>
      <c r="E36" t="s">
        <v>36</v>
      </c>
      <c r="F36" t="s">
        <v>37</v>
      </c>
      <c r="G36" t="s">
        <v>38</v>
      </c>
      <c r="H36" s="1" t="s">
        <v>39</v>
      </c>
      <c r="I36" s="1" t="s">
        <v>40</v>
      </c>
      <c r="J36" t="s">
        <v>41</v>
      </c>
      <c r="K36" s="1" t="s">
        <v>42</v>
      </c>
      <c r="L36" s="2">
        <v>840</v>
      </c>
      <c r="M36" s="3">
        <v>4.5999999999999996</v>
      </c>
      <c r="N36" s="4">
        <v>2.0110000000000001</v>
      </c>
      <c r="O36" s="5">
        <v>1.27</v>
      </c>
      <c r="P36" s="5"/>
      <c r="Q36" s="6"/>
      <c r="R36" s="5">
        <v>42.51</v>
      </c>
      <c r="S36" s="7">
        <f>T36*'Calculations &amp; Methodology'!D$16</f>
        <v>81545.067702110711</v>
      </c>
      <c r="T36" s="2">
        <v>88430</v>
      </c>
      <c r="U36" s="3">
        <v>0.9</v>
      </c>
      <c r="V36" s="5">
        <v>32.909999999999997</v>
      </c>
      <c r="W36" s="5">
        <v>37.520000000000003</v>
      </c>
      <c r="X36" s="5">
        <v>42.43</v>
      </c>
      <c r="Y36" s="5">
        <v>47.53</v>
      </c>
      <c r="Z36" s="5">
        <v>52.25</v>
      </c>
      <c r="AA36" s="2">
        <v>68460</v>
      </c>
      <c r="AB36" s="2">
        <v>78040</v>
      </c>
      <c r="AC36" s="2">
        <v>88250</v>
      </c>
      <c r="AD36" s="2">
        <v>98860</v>
      </c>
      <c r="AE36" s="2">
        <v>108680</v>
      </c>
      <c r="AF36" s="1" t="s">
        <v>43</v>
      </c>
      <c r="AG36" s="1" t="s">
        <v>43</v>
      </c>
      <c r="AH36" s="8">
        <f t="shared" si="1"/>
        <v>613368.99870211072</v>
      </c>
    </row>
    <row r="37" spans="1:34" x14ac:dyDescent="0.25">
      <c r="A37" t="s">
        <v>146</v>
      </c>
      <c r="B37" t="s">
        <v>147</v>
      </c>
      <c r="C37" s="1" t="s">
        <v>34</v>
      </c>
      <c r="D37" s="1" t="s">
        <v>148</v>
      </c>
      <c r="E37" t="s">
        <v>36</v>
      </c>
      <c r="F37" t="s">
        <v>37</v>
      </c>
      <c r="G37" t="s">
        <v>38</v>
      </c>
      <c r="H37" s="1" t="s">
        <v>39</v>
      </c>
      <c r="I37" s="1" t="s">
        <v>40</v>
      </c>
      <c r="J37" t="s">
        <v>41</v>
      </c>
      <c r="K37" s="1" t="s">
        <v>42</v>
      </c>
      <c r="L37" s="2">
        <v>9220</v>
      </c>
      <c r="M37" s="3">
        <v>3.2</v>
      </c>
      <c r="N37" s="4">
        <v>1.6859999999999999</v>
      </c>
      <c r="O37" s="5">
        <v>1.06</v>
      </c>
      <c r="P37" s="5"/>
      <c r="Q37" s="6"/>
      <c r="R37" s="5">
        <v>47.06</v>
      </c>
      <c r="S37" s="7">
        <f>T37*'Calculations &amp; Methodology'!D$16</f>
        <v>90268.536439665462</v>
      </c>
      <c r="T37" s="2">
        <v>97890</v>
      </c>
      <c r="U37" s="3">
        <v>0.9</v>
      </c>
      <c r="V37" s="5">
        <v>35.51</v>
      </c>
      <c r="W37" s="5">
        <v>38.5</v>
      </c>
      <c r="X37" s="5">
        <v>47.33</v>
      </c>
      <c r="Y37" s="5">
        <v>51.75</v>
      </c>
      <c r="Z37" s="5">
        <v>61.06</v>
      </c>
      <c r="AA37" s="2">
        <v>73860</v>
      </c>
      <c r="AB37" s="2">
        <v>80070</v>
      </c>
      <c r="AC37" s="2">
        <v>98440</v>
      </c>
      <c r="AD37" s="2">
        <v>107640</v>
      </c>
      <c r="AE37" s="2">
        <v>127000</v>
      </c>
      <c r="AF37" s="1" t="s">
        <v>43</v>
      </c>
      <c r="AG37" s="1" t="s">
        <v>43</v>
      </c>
      <c r="AH37" s="8">
        <f t="shared" si="1"/>
        <v>684676.59243966546</v>
      </c>
    </row>
    <row r="38" spans="1:34" x14ac:dyDescent="0.25">
      <c r="A38" t="s">
        <v>149</v>
      </c>
      <c r="B38" t="s">
        <v>150</v>
      </c>
      <c r="C38" s="1" t="s">
        <v>34</v>
      </c>
      <c r="D38" s="1" t="s">
        <v>151</v>
      </c>
      <c r="E38" t="s">
        <v>36</v>
      </c>
      <c r="F38" t="s">
        <v>37</v>
      </c>
      <c r="G38" t="s">
        <v>38</v>
      </c>
      <c r="H38" s="1" t="s">
        <v>39</v>
      </c>
      <c r="I38" s="1" t="s">
        <v>40</v>
      </c>
      <c r="J38" t="s">
        <v>41</v>
      </c>
      <c r="K38" s="1" t="s">
        <v>42</v>
      </c>
      <c r="L38" s="2">
        <v>2240</v>
      </c>
      <c r="M38" s="3">
        <v>7.9</v>
      </c>
      <c r="N38" s="4">
        <v>1.3480000000000001</v>
      </c>
      <c r="O38" s="5">
        <v>0.85</v>
      </c>
      <c r="P38" s="5"/>
      <c r="Q38" s="6"/>
      <c r="R38" s="5">
        <v>45.89</v>
      </c>
      <c r="S38" s="7">
        <f>T38*'Calculations &amp; Methodology'!D$16</f>
        <v>88018.508562325762</v>
      </c>
      <c r="T38" s="2">
        <v>95450</v>
      </c>
      <c r="U38" s="3">
        <v>2</v>
      </c>
      <c r="V38" s="5">
        <v>31.89</v>
      </c>
      <c r="W38" s="5">
        <v>39.270000000000003</v>
      </c>
      <c r="X38" s="5">
        <v>47.16</v>
      </c>
      <c r="Y38" s="5">
        <v>53.07</v>
      </c>
      <c r="Z38" s="5">
        <v>58.67</v>
      </c>
      <c r="AA38" s="2">
        <v>66340</v>
      </c>
      <c r="AB38" s="2">
        <v>81690</v>
      </c>
      <c r="AC38" s="2">
        <v>98090</v>
      </c>
      <c r="AD38" s="2">
        <v>110380</v>
      </c>
      <c r="AE38" s="2">
        <v>122030</v>
      </c>
      <c r="AF38" s="1" t="s">
        <v>43</v>
      </c>
      <c r="AG38" s="1" t="s">
        <v>43</v>
      </c>
      <c r="AH38" s="8">
        <f t="shared" si="1"/>
        <v>664526.5565623258</v>
      </c>
    </row>
    <row r="39" spans="1:34" x14ac:dyDescent="0.25">
      <c r="A39" t="s">
        <v>152</v>
      </c>
      <c r="B39" t="s">
        <v>153</v>
      </c>
      <c r="C39" s="1" t="s">
        <v>34</v>
      </c>
      <c r="D39" s="1" t="s">
        <v>154</v>
      </c>
      <c r="E39" t="s">
        <v>36</v>
      </c>
      <c r="F39" t="s">
        <v>37</v>
      </c>
      <c r="G39" t="s">
        <v>38</v>
      </c>
      <c r="H39" s="1" t="s">
        <v>39</v>
      </c>
      <c r="I39" s="1" t="s">
        <v>40</v>
      </c>
      <c r="J39" t="s">
        <v>41</v>
      </c>
      <c r="K39" s="1" t="s">
        <v>42</v>
      </c>
      <c r="L39" s="2">
        <v>3090</v>
      </c>
      <c r="M39" s="3">
        <v>5.0999999999999996</v>
      </c>
      <c r="N39" s="4">
        <v>1.589</v>
      </c>
      <c r="O39" s="5">
        <v>1</v>
      </c>
      <c r="P39" s="5"/>
      <c r="Q39" s="6"/>
      <c r="R39" s="5">
        <v>48.22</v>
      </c>
      <c r="S39" s="7">
        <f>T39*'Calculations &amp; Methodology'!D$16</f>
        <v>92500.121465551565</v>
      </c>
      <c r="T39" s="2">
        <v>100310</v>
      </c>
      <c r="U39" s="3">
        <v>0.9</v>
      </c>
      <c r="V39" s="5">
        <v>37</v>
      </c>
      <c r="W39" s="5">
        <v>39.200000000000003</v>
      </c>
      <c r="X39" s="5">
        <v>48.56</v>
      </c>
      <c r="Y39" s="5">
        <v>56.49</v>
      </c>
      <c r="Z39" s="5">
        <v>61.2</v>
      </c>
      <c r="AA39" s="2">
        <v>76960</v>
      </c>
      <c r="AB39" s="2">
        <v>81540</v>
      </c>
      <c r="AC39" s="2">
        <v>101000</v>
      </c>
      <c r="AD39" s="2">
        <v>117490</v>
      </c>
      <c r="AE39" s="2">
        <v>127300</v>
      </c>
      <c r="AF39" s="1" t="s">
        <v>43</v>
      </c>
      <c r="AG39" s="1" t="s">
        <v>43</v>
      </c>
      <c r="AH39" s="8">
        <f t="shared" si="1"/>
        <v>700489.38046555151</v>
      </c>
    </row>
    <row r="40" spans="1:34" x14ac:dyDescent="0.25">
      <c r="A40" t="s">
        <v>155</v>
      </c>
      <c r="B40" t="s">
        <v>156</v>
      </c>
      <c r="C40" s="1" t="s">
        <v>34</v>
      </c>
      <c r="D40" s="1" t="s">
        <v>157</v>
      </c>
      <c r="E40" t="s">
        <v>36</v>
      </c>
      <c r="F40" t="s">
        <v>37</v>
      </c>
      <c r="G40" t="s">
        <v>38</v>
      </c>
      <c r="H40" s="1" t="s">
        <v>39</v>
      </c>
      <c r="I40" s="1" t="s">
        <v>40</v>
      </c>
      <c r="J40" t="s">
        <v>41</v>
      </c>
      <c r="K40" s="1" t="s">
        <v>42</v>
      </c>
      <c r="L40" s="2">
        <v>11780</v>
      </c>
      <c r="M40" s="3">
        <v>4.4000000000000004</v>
      </c>
      <c r="N40" s="4">
        <v>1.9810000000000001</v>
      </c>
      <c r="O40" s="5">
        <v>1.25</v>
      </c>
      <c r="P40" s="5"/>
      <c r="Q40" s="6"/>
      <c r="R40" s="5">
        <v>47.58</v>
      </c>
      <c r="S40" s="7">
        <f>T40*'Calculations &amp; Methodology'!D$16</f>
        <v>91264.450418160093</v>
      </c>
      <c r="T40" s="2">
        <v>98970</v>
      </c>
      <c r="U40" s="3">
        <v>1.1000000000000001</v>
      </c>
      <c r="V40" s="5">
        <v>35.19</v>
      </c>
      <c r="W40" s="5">
        <v>39.69</v>
      </c>
      <c r="X40" s="5">
        <v>48.19</v>
      </c>
      <c r="Y40" s="5">
        <v>53.94</v>
      </c>
      <c r="Z40" s="5">
        <v>60.07</v>
      </c>
      <c r="AA40" s="2">
        <v>73200</v>
      </c>
      <c r="AB40" s="2">
        <v>82550</v>
      </c>
      <c r="AC40" s="2">
        <v>100240</v>
      </c>
      <c r="AD40" s="2">
        <v>112180</v>
      </c>
      <c r="AE40" s="2">
        <v>124950</v>
      </c>
      <c r="AF40" s="1" t="s">
        <v>43</v>
      </c>
      <c r="AG40" s="1" t="s">
        <v>43</v>
      </c>
      <c r="AH40" s="8">
        <f t="shared" si="1"/>
        <v>695427.84141816013</v>
      </c>
    </row>
    <row r="41" spans="1:34" x14ac:dyDescent="0.25">
      <c r="A41" t="s">
        <v>158</v>
      </c>
      <c r="B41" t="s">
        <v>159</v>
      </c>
      <c r="C41" s="1" t="s">
        <v>34</v>
      </c>
      <c r="D41" s="1" t="s">
        <v>160</v>
      </c>
      <c r="E41" t="s">
        <v>36</v>
      </c>
      <c r="F41" t="s">
        <v>37</v>
      </c>
      <c r="G41" t="s">
        <v>38</v>
      </c>
      <c r="H41" s="1" t="s">
        <v>39</v>
      </c>
      <c r="I41" s="1" t="s">
        <v>40</v>
      </c>
      <c r="J41" t="s">
        <v>41</v>
      </c>
      <c r="K41" s="1" t="s">
        <v>42</v>
      </c>
      <c r="L41" s="2">
        <v>1240</v>
      </c>
      <c r="M41" s="3">
        <v>15.6</v>
      </c>
      <c r="N41" s="4">
        <v>2.5310000000000001</v>
      </c>
      <c r="O41" s="5">
        <v>1.6</v>
      </c>
      <c r="P41" s="5"/>
      <c r="Q41" s="6"/>
      <c r="R41" s="5">
        <v>45.75</v>
      </c>
      <c r="S41" s="7">
        <f>T41*'Calculations &amp; Methodology'!D$16</f>
        <v>87751.087216248503</v>
      </c>
      <c r="T41" s="2">
        <v>95160</v>
      </c>
      <c r="U41" s="3">
        <v>6.2</v>
      </c>
      <c r="V41" s="5">
        <v>36.049999999999997</v>
      </c>
      <c r="W41" s="5">
        <v>38.880000000000003</v>
      </c>
      <c r="X41" s="5">
        <v>45.91</v>
      </c>
      <c r="Y41" s="5">
        <v>51.43</v>
      </c>
      <c r="Z41" s="5">
        <v>62.98</v>
      </c>
      <c r="AA41" s="2">
        <v>74980</v>
      </c>
      <c r="AB41" s="2">
        <v>80870</v>
      </c>
      <c r="AC41" s="2">
        <v>95490</v>
      </c>
      <c r="AD41" s="2">
        <v>106980</v>
      </c>
      <c r="AE41" s="2">
        <v>131010</v>
      </c>
      <c r="AF41" s="1" t="s">
        <v>43</v>
      </c>
      <c r="AG41" s="1" t="s">
        <v>43</v>
      </c>
      <c r="AH41" s="8">
        <f t="shared" si="1"/>
        <v>673788.01821624849</v>
      </c>
    </row>
    <row r="42" spans="1:34" x14ac:dyDescent="0.25">
      <c r="A42" t="s">
        <v>161</v>
      </c>
      <c r="B42" t="s">
        <v>162</v>
      </c>
      <c r="C42" s="1" t="s">
        <v>34</v>
      </c>
      <c r="D42" s="1" t="s">
        <v>163</v>
      </c>
      <c r="E42" t="s">
        <v>36</v>
      </c>
      <c r="F42" t="s">
        <v>37</v>
      </c>
      <c r="G42" t="s">
        <v>38</v>
      </c>
      <c r="H42" s="1" t="s">
        <v>39</v>
      </c>
      <c r="I42" s="1" t="s">
        <v>40</v>
      </c>
      <c r="J42" t="s">
        <v>41</v>
      </c>
      <c r="K42" s="1" t="s">
        <v>42</v>
      </c>
      <c r="L42" s="2">
        <v>3700</v>
      </c>
      <c r="M42" s="3">
        <v>3.8</v>
      </c>
      <c r="N42" s="4">
        <v>1.663</v>
      </c>
      <c r="O42" s="5">
        <v>1.05</v>
      </c>
      <c r="P42" s="5"/>
      <c r="Q42" s="6"/>
      <c r="R42" s="5">
        <v>45.33</v>
      </c>
      <c r="S42" s="7">
        <f>T42*'Calculations &amp; Methodology'!D$16</f>
        <v>86939.60175228992</v>
      </c>
      <c r="T42" s="2">
        <v>94280</v>
      </c>
      <c r="U42" s="3">
        <v>1</v>
      </c>
      <c r="V42" s="5">
        <v>31.65</v>
      </c>
      <c r="W42" s="5">
        <v>38.11</v>
      </c>
      <c r="X42" s="5">
        <v>46.77</v>
      </c>
      <c r="Y42" s="5">
        <v>50.82</v>
      </c>
      <c r="Z42" s="5">
        <v>57.05</v>
      </c>
      <c r="AA42" s="2">
        <v>65820</v>
      </c>
      <c r="AB42" s="2">
        <v>79280</v>
      </c>
      <c r="AC42" s="2">
        <v>97280</v>
      </c>
      <c r="AD42" s="2">
        <v>105710</v>
      </c>
      <c r="AE42" s="2">
        <v>118660</v>
      </c>
      <c r="AF42" s="1" t="s">
        <v>43</v>
      </c>
      <c r="AG42" s="1" t="s">
        <v>43</v>
      </c>
      <c r="AH42" s="8">
        <f t="shared" si="1"/>
        <v>651946.84475228982</v>
      </c>
    </row>
    <row r="43" spans="1:34" x14ac:dyDescent="0.25">
      <c r="A43" t="s">
        <v>164</v>
      </c>
      <c r="B43" t="s">
        <v>165</v>
      </c>
      <c r="C43" s="1" t="s">
        <v>34</v>
      </c>
      <c r="D43" s="1" t="s">
        <v>166</v>
      </c>
      <c r="E43" t="s">
        <v>36</v>
      </c>
      <c r="F43" t="s">
        <v>37</v>
      </c>
      <c r="G43" t="s">
        <v>38</v>
      </c>
      <c r="H43" s="1" t="s">
        <v>39</v>
      </c>
      <c r="I43" s="1" t="s">
        <v>40</v>
      </c>
      <c r="J43" t="s">
        <v>41</v>
      </c>
      <c r="K43" s="1" t="s">
        <v>42</v>
      </c>
      <c r="L43" s="2">
        <v>900</v>
      </c>
      <c r="M43" s="3">
        <v>4.3</v>
      </c>
      <c r="N43" s="4">
        <v>2.0249999999999999</v>
      </c>
      <c r="O43" s="5">
        <v>1.28</v>
      </c>
      <c r="P43" s="5"/>
      <c r="Q43" s="6"/>
      <c r="R43" s="5">
        <v>42.81</v>
      </c>
      <c r="S43" s="7">
        <f>T43*'Calculations &amp; Methodology'!D$16</f>
        <v>82116.796097172439</v>
      </c>
      <c r="T43" s="2">
        <v>89050</v>
      </c>
      <c r="U43" s="3">
        <v>1.1000000000000001</v>
      </c>
      <c r="V43" s="5">
        <v>33.44</v>
      </c>
      <c r="W43" s="5">
        <v>37.67</v>
      </c>
      <c r="X43" s="5">
        <v>42.93</v>
      </c>
      <c r="Y43" s="5">
        <v>47.58</v>
      </c>
      <c r="Z43" s="5">
        <v>49.75</v>
      </c>
      <c r="AA43" s="2">
        <v>69560</v>
      </c>
      <c r="AB43" s="2">
        <v>78360</v>
      </c>
      <c r="AC43" s="2">
        <v>89290</v>
      </c>
      <c r="AD43" s="2">
        <v>98970</v>
      </c>
      <c r="AE43" s="2">
        <v>103480</v>
      </c>
      <c r="AF43" s="1" t="s">
        <v>43</v>
      </c>
      <c r="AG43" s="1" t="s">
        <v>43</v>
      </c>
      <c r="AH43" s="8">
        <f t="shared" si="1"/>
        <v>611989.68109717243</v>
      </c>
    </row>
    <row r="44" spans="1:34" x14ac:dyDescent="0.25">
      <c r="A44" t="s">
        <v>167</v>
      </c>
      <c r="B44" t="s">
        <v>168</v>
      </c>
      <c r="C44" s="1" t="s">
        <v>34</v>
      </c>
      <c r="D44" s="1" t="s">
        <v>169</v>
      </c>
      <c r="E44" t="s">
        <v>36</v>
      </c>
      <c r="F44" t="s">
        <v>37</v>
      </c>
      <c r="G44" t="s">
        <v>38</v>
      </c>
      <c r="H44" s="1" t="s">
        <v>39</v>
      </c>
      <c r="I44" s="1" t="s">
        <v>40</v>
      </c>
      <c r="J44" t="s">
        <v>41</v>
      </c>
      <c r="K44" s="1" t="s">
        <v>42</v>
      </c>
      <c r="L44" s="2">
        <v>4220</v>
      </c>
      <c r="M44" s="3">
        <v>6</v>
      </c>
      <c r="N44" s="4">
        <v>1.31</v>
      </c>
      <c r="O44" s="5">
        <v>0.83</v>
      </c>
      <c r="P44" s="5"/>
      <c r="Q44" s="6"/>
      <c r="R44" s="5">
        <v>46.37</v>
      </c>
      <c r="S44" s="7">
        <f>T44*'Calculations &amp; Methodology'!D$16</f>
        <v>88931.429709279168</v>
      </c>
      <c r="T44" s="2">
        <v>96440</v>
      </c>
      <c r="U44" s="3">
        <v>0.6</v>
      </c>
      <c r="V44" s="5">
        <v>36.81</v>
      </c>
      <c r="W44" s="5">
        <v>39.630000000000003</v>
      </c>
      <c r="X44" s="5">
        <v>47.45</v>
      </c>
      <c r="Y44" s="5">
        <v>51.05</v>
      </c>
      <c r="Z44" s="5">
        <v>56.92</v>
      </c>
      <c r="AA44" s="2">
        <v>76570</v>
      </c>
      <c r="AB44" s="2">
        <v>82420</v>
      </c>
      <c r="AC44" s="2">
        <v>98690</v>
      </c>
      <c r="AD44" s="2">
        <v>106190</v>
      </c>
      <c r="AE44" s="2">
        <v>118390</v>
      </c>
      <c r="AF44" s="1" t="s">
        <v>43</v>
      </c>
      <c r="AG44" s="1" t="s">
        <v>43</v>
      </c>
      <c r="AH44" s="8">
        <f t="shared" si="1"/>
        <v>672138.39970927918</v>
      </c>
    </row>
    <row r="45" spans="1:34" x14ac:dyDescent="0.25">
      <c r="A45" t="s">
        <v>170</v>
      </c>
      <c r="B45" t="s">
        <v>171</v>
      </c>
      <c r="C45" s="1" t="s">
        <v>34</v>
      </c>
      <c r="D45" s="1" t="s">
        <v>172</v>
      </c>
      <c r="E45" t="s">
        <v>36</v>
      </c>
      <c r="F45" t="s">
        <v>37</v>
      </c>
      <c r="G45" t="s">
        <v>38</v>
      </c>
      <c r="H45" s="1" t="s">
        <v>39</v>
      </c>
      <c r="I45" s="1" t="s">
        <v>40</v>
      </c>
      <c r="J45" t="s">
        <v>41</v>
      </c>
      <c r="K45" s="1" t="s">
        <v>42</v>
      </c>
      <c r="L45" s="2">
        <v>17170</v>
      </c>
      <c r="M45" s="3">
        <v>3.7</v>
      </c>
      <c r="N45" s="4">
        <v>1.266</v>
      </c>
      <c r="O45" s="5">
        <v>0.8</v>
      </c>
      <c r="P45" s="5"/>
      <c r="Q45" s="6"/>
      <c r="R45" s="5">
        <v>51.42</v>
      </c>
      <c r="S45" s="7">
        <f>T45*'Calculations &amp; Methodology'!D$16</f>
        <v>98632.369573874952</v>
      </c>
      <c r="T45" s="2">
        <v>106960</v>
      </c>
      <c r="U45" s="3">
        <v>1.1000000000000001</v>
      </c>
      <c r="V45" s="5">
        <v>35.01</v>
      </c>
      <c r="W45" s="5">
        <v>41.54</v>
      </c>
      <c r="X45" s="5">
        <v>50.03</v>
      </c>
      <c r="Y45" s="5">
        <v>58.67</v>
      </c>
      <c r="Z45" s="5">
        <v>66.03</v>
      </c>
      <c r="AA45" s="2">
        <v>72830</v>
      </c>
      <c r="AB45" s="2">
        <v>86400</v>
      </c>
      <c r="AC45" s="2">
        <v>104060</v>
      </c>
      <c r="AD45" s="2">
        <v>122040</v>
      </c>
      <c r="AE45" s="2">
        <v>137350</v>
      </c>
      <c r="AF45" s="1" t="s">
        <v>43</v>
      </c>
      <c r="AG45" s="1" t="s">
        <v>43</v>
      </c>
      <c r="AH45" s="8">
        <f t="shared" si="1"/>
        <v>745751.93557387497</v>
      </c>
    </row>
    <row r="46" spans="1:34" x14ac:dyDescent="0.25">
      <c r="A46" t="s">
        <v>173</v>
      </c>
      <c r="B46" t="s">
        <v>174</v>
      </c>
      <c r="C46" s="1" t="s">
        <v>34</v>
      </c>
      <c r="D46" s="1" t="s">
        <v>175</v>
      </c>
      <c r="E46" t="s">
        <v>36</v>
      </c>
      <c r="F46" t="s">
        <v>37</v>
      </c>
      <c r="G46" t="s">
        <v>38</v>
      </c>
      <c r="H46" s="1" t="s">
        <v>39</v>
      </c>
      <c r="I46" s="1" t="s">
        <v>40</v>
      </c>
      <c r="J46" t="s">
        <v>41</v>
      </c>
      <c r="K46" s="1" t="s">
        <v>42</v>
      </c>
      <c r="L46" s="2">
        <v>2310</v>
      </c>
      <c r="M46" s="3">
        <v>5.3</v>
      </c>
      <c r="N46" s="4">
        <v>1.3740000000000001</v>
      </c>
      <c r="O46" s="5">
        <v>0.87</v>
      </c>
      <c r="P46" s="5"/>
      <c r="Q46" s="6"/>
      <c r="R46" s="5">
        <v>46.57</v>
      </c>
      <c r="S46" s="7">
        <f>T46*'Calculations &amp; Methodology'!D$16</f>
        <v>89318.729589804861</v>
      </c>
      <c r="T46" s="2">
        <v>96860</v>
      </c>
      <c r="U46" s="3">
        <v>2</v>
      </c>
      <c r="V46" s="5">
        <v>28.74</v>
      </c>
      <c r="W46" s="5">
        <v>38.020000000000003</v>
      </c>
      <c r="X46" s="5">
        <v>45.67</v>
      </c>
      <c r="Y46" s="5">
        <v>55.78</v>
      </c>
      <c r="Z46" s="5">
        <v>65.28</v>
      </c>
      <c r="AA46" s="2">
        <v>59790</v>
      </c>
      <c r="AB46" s="2">
        <v>79080</v>
      </c>
      <c r="AC46" s="2">
        <v>95000</v>
      </c>
      <c r="AD46" s="2">
        <v>116020</v>
      </c>
      <c r="AE46" s="2">
        <v>135780</v>
      </c>
      <c r="AF46" s="1" t="s">
        <v>43</v>
      </c>
      <c r="AG46" s="1" t="s">
        <v>43</v>
      </c>
      <c r="AH46" s="8">
        <f t="shared" si="1"/>
        <v>674448.33358980482</v>
      </c>
    </row>
    <row r="47" spans="1:34" x14ac:dyDescent="0.25">
      <c r="A47" t="s">
        <v>176</v>
      </c>
      <c r="B47" t="s">
        <v>177</v>
      </c>
      <c r="C47" s="1" t="s">
        <v>34</v>
      </c>
      <c r="D47" s="1" t="s">
        <v>178</v>
      </c>
      <c r="E47" t="s">
        <v>36</v>
      </c>
      <c r="F47" t="s">
        <v>37</v>
      </c>
      <c r="G47" t="s">
        <v>38</v>
      </c>
      <c r="H47" s="1" t="s">
        <v>39</v>
      </c>
      <c r="I47" s="1" t="s">
        <v>40</v>
      </c>
      <c r="J47" t="s">
        <v>41</v>
      </c>
      <c r="K47" s="1" t="s">
        <v>42</v>
      </c>
      <c r="L47" s="2">
        <v>640</v>
      </c>
      <c r="M47" s="3">
        <v>5.8</v>
      </c>
      <c r="N47" s="4">
        <v>2.1379999999999999</v>
      </c>
      <c r="O47" s="5">
        <v>1.35</v>
      </c>
      <c r="P47" s="5"/>
      <c r="Q47" s="6"/>
      <c r="R47" s="5">
        <v>45.38</v>
      </c>
      <c r="S47" s="7">
        <f>T47*'Calculations &amp; Methodology'!D$16</f>
        <v>87031.816009557937</v>
      </c>
      <c r="T47" s="2">
        <v>94380</v>
      </c>
      <c r="U47" s="3">
        <v>1.7</v>
      </c>
      <c r="V47" s="5">
        <v>35.54</v>
      </c>
      <c r="W47" s="5">
        <v>38.9</v>
      </c>
      <c r="X47" s="5">
        <v>43.68</v>
      </c>
      <c r="Y47" s="5">
        <v>49.85</v>
      </c>
      <c r="Z47" s="5">
        <v>53.97</v>
      </c>
      <c r="AA47" s="2">
        <v>73920</v>
      </c>
      <c r="AB47" s="2">
        <v>80910</v>
      </c>
      <c r="AC47" s="2">
        <v>90860</v>
      </c>
      <c r="AD47" s="2">
        <v>103680</v>
      </c>
      <c r="AE47" s="2">
        <v>112260</v>
      </c>
      <c r="AF47" s="1" t="s">
        <v>43</v>
      </c>
      <c r="AG47" s="1" t="s">
        <v>43</v>
      </c>
      <c r="AH47" s="8">
        <f t="shared" si="1"/>
        <v>643960.124009558</v>
      </c>
    </row>
    <row r="48" spans="1:34" x14ac:dyDescent="0.25">
      <c r="A48" t="s">
        <v>179</v>
      </c>
      <c r="B48" t="s">
        <v>180</v>
      </c>
      <c r="C48" s="1" t="s">
        <v>34</v>
      </c>
      <c r="D48" s="1" t="s">
        <v>181</v>
      </c>
      <c r="E48" t="s">
        <v>36</v>
      </c>
      <c r="F48" t="s">
        <v>37</v>
      </c>
      <c r="G48" t="s">
        <v>38</v>
      </c>
      <c r="H48" s="1" t="s">
        <v>39</v>
      </c>
      <c r="I48" s="1" t="s">
        <v>40</v>
      </c>
      <c r="J48" t="s">
        <v>41</v>
      </c>
      <c r="K48" s="1" t="s">
        <v>42</v>
      </c>
      <c r="L48" s="2">
        <v>7630</v>
      </c>
      <c r="M48" s="3">
        <v>4.4000000000000004</v>
      </c>
      <c r="N48" s="4">
        <v>1.9159999999999999</v>
      </c>
      <c r="O48" s="5">
        <v>1.21</v>
      </c>
      <c r="P48" s="5"/>
      <c r="Q48" s="6"/>
      <c r="R48" s="5">
        <v>48.01</v>
      </c>
      <c r="S48" s="7">
        <f>T48*'Calculations &amp; Methodology'!D$16</f>
        <v>92075.935882118676</v>
      </c>
      <c r="T48" s="2">
        <v>99850</v>
      </c>
      <c r="U48" s="3">
        <v>1.4</v>
      </c>
      <c r="V48" s="5">
        <v>34.880000000000003</v>
      </c>
      <c r="W48" s="5">
        <v>38.78</v>
      </c>
      <c r="X48" s="5">
        <v>46.53</v>
      </c>
      <c r="Y48" s="5">
        <v>54.5</v>
      </c>
      <c r="Z48" s="5">
        <v>62.42</v>
      </c>
      <c r="AA48" s="2">
        <v>72550</v>
      </c>
      <c r="AB48" s="2">
        <v>80670</v>
      </c>
      <c r="AC48" s="2">
        <v>96780</v>
      </c>
      <c r="AD48" s="2">
        <v>113360</v>
      </c>
      <c r="AE48" s="2">
        <v>129840</v>
      </c>
      <c r="AF48" s="1" t="s">
        <v>43</v>
      </c>
      <c r="AG48" s="1" t="s">
        <v>43</v>
      </c>
      <c r="AH48" s="8">
        <f t="shared" si="1"/>
        <v>693049.98188211862</v>
      </c>
    </row>
    <row r="49" spans="1:34" x14ac:dyDescent="0.25">
      <c r="A49" t="s">
        <v>182</v>
      </c>
      <c r="B49" t="s">
        <v>183</v>
      </c>
      <c r="C49" s="1" t="s">
        <v>34</v>
      </c>
      <c r="D49" s="1" t="s">
        <v>184</v>
      </c>
      <c r="E49" t="s">
        <v>36</v>
      </c>
      <c r="F49" t="s">
        <v>37</v>
      </c>
      <c r="G49" t="s">
        <v>38</v>
      </c>
      <c r="H49" s="1" t="s">
        <v>39</v>
      </c>
      <c r="I49" s="1" t="s">
        <v>40</v>
      </c>
      <c r="J49" t="s">
        <v>41</v>
      </c>
      <c r="K49" s="1" t="s">
        <v>42</v>
      </c>
      <c r="L49" s="2">
        <v>5490</v>
      </c>
      <c r="M49" s="3">
        <v>4.4000000000000004</v>
      </c>
      <c r="N49" s="4">
        <v>1.57</v>
      </c>
      <c r="O49" s="5">
        <v>0.99</v>
      </c>
      <c r="P49" s="5"/>
      <c r="Q49" s="6"/>
      <c r="R49" s="5">
        <v>48.79</v>
      </c>
      <c r="S49" s="7">
        <f>T49*'Calculations &amp; Methodology'!D$16</f>
        <v>93579.028275587407</v>
      </c>
      <c r="T49" s="2">
        <v>101480</v>
      </c>
      <c r="U49" s="3">
        <v>1.6</v>
      </c>
      <c r="V49" s="5">
        <v>36.22</v>
      </c>
      <c r="W49" s="5">
        <v>39.33</v>
      </c>
      <c r="X49" s="5">
        <v>48.53</v>
      </c>
      <c r="Y49" s="5">
        <v>57.03</v>
      </c>
      <c r="Z49" s="5">
        <v>63.04</v>
      </c>
      <c r="AA49" s="2">
        <v>75340</v>
      </c>
      <c r="AB49" s="2">
        <v>81810</v>
      </c>
      <c r="AC49" s="2">
        <v>100950</v>
      </c>
      <c r="AD49" s="2">
        <v>118620</v>
      </c>
      <c r="AE49" s="2">
        <v>131130</v>
      </c>
      <c r="AF49" s="1" t="s">
        <v>43</v>
      </c>
      <c r="AG49" s="1" t="s">
        <v>43</v>
      </c>
      <c r="AH49" s="8">
        <f t="shared" si="1"/>
        <v>708700.52827558736</v>
      </c>
    </row>
    <row r="50" spans="1:34" x14ac:dyDescent="0.25">
      <c r="A50" t="s">
        <v>185</v>
      </c>
      <c r="B50" t="s">
        <v>186</v>
      </c>
      <c r="C50" s="1" t="s">
        <v>34</v>
      </c>
      <c r="D50" s="1" t="s">
        <v>187</v>
      </c>
      <c r="E50" t="s">
        <v>36</v>
      </c>
      <c r="F50" t="s">
        <v>37</v>
      </c>
      <c r="G50" t="s">
        <v>38</v>
      </c>
      <c r="H50" s="1" t="s">
        <v>39</v>
      </c>
      <c r="I50" s="1" t="s">
        <v>40</v>
      </c>
      <c r="J50" t="s">
        <v>41</v>
      </c>
      <c r="K50" s="1" t="s">
        <v>42</v>
      </c>
      <c r="L50" s="2">
        <v>1210</v>
      </c>
      <c r="M50" s="3">
        <v>4</v>
      </c>
      <c r="N50" s="4">
        <v>1.754</v>
      </c>
      <c r="O50" s="5">
        <v>1.1100000000000001</v>
      </c>
      <c r="P50" s="5"/>
      <c r="Q50" s="6"/>
      <c r="R50" s="5">
        <v>45.25</v>
      </c>
      <c r="S50" s="7">
        <f>T50*'Calculations &amp; Methodology'!D$16</f>
        <v>86801.280366387888</v>
      </c>
      <c r="T50" s="2">
        <v>94130</v>
      </c>
      <c r="U50" s="3">
        <v>1.1000000000000001</v>
      </c>
      <c r="V50" s="5">
        <v>30.77</v>
      </c>
      <c r="W50" s="5">
        <v>38.119999999999997</v>
      </c>
      <c r="X50" s="5">
        <v>46.26</v>
      </c>
      <c r="Y50" s="5">
        <v>51.42</v>
      </c>
      <c r="Z50" s="5">
        <v>59.77</v>
      </c>
      <c r="AA50" s="2">
        <v>64010</v>
      </c>
      <c r="AB50" s="2">
        <v>79290</v>
      </c>
      <c r="AC50" s="2">
        <v>96210</v>
      </c>
      <c r="AD50" s="2">
        <v>106940</v>
      </c>
      <c r="AE50" s="2">
        <v>124310</v>
      </c>
      <c r="AF50" s="1" t="s">
        <v>43</v>
      </c>
      <c r="AG50" s="1" t="s">
        <v>43</v>
      </c>
      <c r="AH50" s="8">
        <f t="shared" si="1"/>
        <v>653180.83436638792</v>
      </c>
    </row>
    <row r="51" spans="1:34" x14ac:dyDescent="0.25">
      <c r="A51" t="s">
        <v>188</v>
      </c>
      <c r="B51" t="s">
        <v>189</v>
      </c>
      <c r="C51" s="1" t="s">
        <v>34</v>
      </c>
      <c r="D51" s="1" t="s">
        <v>190</v>
      </c>
      <c r="E51" t="s">
        <v>36</v>
      </c>
      <c r="F51" t="s">
        <v>37</v>
      </c>
      <c r="G51" t="s">
        <v>38</v>
      </c>
      <c r="H51" s="1" t="s">
        <v>39</v>
      </c>
      <c r="I51" s="1" t="s">
        <v>40</v>
      </c>
      <c r="J51" t="s">
        <v>41</v>
      </c>
      <c r="K51" s="1" t="s">
        <v>42</v>
      </c>
      <c r="L51" s="2">
        <v>4950</v>
      </c>
      <c r="M51" s="3">
        <v>2.8</v>
      </c>
      <c r="N51" s="4">
        <v>1.716</v>
      </c>
      <c r="O51" s="5">
        <v>1.08</v>
      </c>
      <c r="P51" s="5"/>
      <c r="Q51" s="6"/>
      <c r="R51" s="5">
        <v>45.76</v>
      </c>
      <c r="S51" s="7">
        <f>T51*'Calculations &amp; Methodology'!D$16</f>
        <v>87769.5300677021</v>
      </c>
      <c r="T51" s="2">
        <v>95180</v>
      </c>
      <c r="U51" s="3">
        <v>1</v>
      </c>
      <c r="V51" s="5">
        <v>36.450000000000003</v>
      </c>
      <c r="W51" s="5">
        <v>38.979999999999997</v>
      </c>
      <c r="X51" s="5">
        <v>46.96</v>
      </c>
      <c r="Y51" s="5">
        <v>49.93</v>
      </c>
      <c r="Z51" s="5">
        <v>56.85</v>
      </c>
      <c r="AA51" s="2">
        <v>75820</v>
      </c>
      <c r="AB51" s="2">
        <v>81080</v>
      </c>
      <c r="AC51" s="2">
        <v>97670</v>
      </c>
      <c r="AD51" s="2">
        <v>103850</v>
      </c>
      <c r="AE51" s="2">
        <v>118250</v>
      </c>
      <c r="AF51" s="1" t="s">
        <v>43</v>
      </c>
      <c r="AG51" s="1" t="s">
        <v>43</v>
      </c>
      <c r="AH51" s="8">
        <f t="shared" si="1"/>
        <v>664851.05606770213</v>
      </c>
    </row>
    <row r="52" spans="1:34" x14ac:dyDescent="0.25">
      <c r="A52" t="s">
        <v>191</v>
      </c>
      <c r="B52" t="s">
        <v>192</v>
      </c>
      <c r="C52" s="1" t="s">
        <v>34</v>
      </c>
      <c r="D52" s="1" t="s">
        <v>193</v>
      </c>
      <c r="E52" t="s">
        <v>36</v>
      </c>
      <c r="F52" t="s">
        <v>37</v>
      </c>
      <c r="G52" t="s">
        <v>38</v>
      </c>
      <c r="H52" s="1" t="s">
        <v>39</v>
      </c>
      <c r="I52" s="1" t="s">
        <v>40</v>
      </c>
      <c r="J52" t="s">
        <v>41</v>
      </c>
      <c r="K52" s="1" t="s">
        <v>42</v>
      </c>
      <c r="L52" s="2">
        <v>440</v>
      </c>
      <c r="M52" s="3">
        <v>5.9</v>
      </c>
      <c r="N52" s="4">
        <v>1.625</v>
      </c>
      <c r="O52" s="5">
        <v>1.02</v>
      </c>
      <c r="P52" s="5"/>
      <c r="Q52" s="6"/>
      <c r="R52" s="5">
        <v>44.8</v>
      </c>
      <c r="S52" s="7">
        <f>T52*'Calculations &amp; Methodology'!D$16</f>
        <v>85934.466348068498</v>
      </c>
      <c r="T52" s="2">
        <v>93190</v>
      </c>
      <c r="U52" s="3">
        <v>1.3</v>
      </c>
      <c r="V52" s="5">
        <v>32.4</v>
      </c>
      <c r="W52" s="5">
        <v>37.71</v>
      </c>
      <c r="X52" s="5">
        <v>42.45</v>
      </c>
      <c r="Y52" s="5">
        <v>49.41</v>
      </c>
      <c r="Z52" s="5">
        <v>58.48</v>
      </c>
      <c r="AA52" s="2">
        <v>67400</v>
      </c>
      <c r="AB52" s="2">
        <v>78430</v>
      </c>
      <c r="AC52" s="2">
        <v>88290</v>
      </c>
      <c r="AD52" s="2">
        <v>102760</v>
      </c>
      <c r="AE52" s="2">
        <v>121630</v>
      </c>
      <c r="AF52" s="1" t="s">
        <v>43</v>
      </c>
      <c r="AG52" s="1" t="s">
        <v>43</v>
      </c>
      <c r="AH52" s="8">
        <f t="shared" si="1"/>
        <v>638349.56134806853</v>
      </c>
    </row>
    <row r="53" spans="1:34" x14ac:dyDescent="0.25">
      <c r="A53" t="s">
        <v>194</v>
      </c>
      <c r="B53" t="s">
        <v>195</v>
      </c>
      <c r="C53" s="1" t="s">
        <v>196</v>
      </c>
      <c r="D53" s="1" t="s">
        <v>197</v>
      </c>
      <c r="E53" t="s">
        <v>36</v>
      </c>
      <c r="F53" t="s">
        <v>37</v>
      </c>
      <c r="G53" t="s">
        <v>38</v>
      </c>
      <c r="H53" s="1" t="s">
        <v>39</v>
      </c>
      <c r="I53" s="1" t="s">
        <v>40</v>
      </c>
      <c r="J53" t="s">
        <v>41</v>
      </c>
      <c r="K53" s="1" t="s">
        <v>42</v>
      </c>
      <c r="L53" s="2">
        <v>440</v>
      </c>
      <c r="M53" s="3">
        <v>9.1</v>
      </c>
      <c r="N53" s="4">
        <v>0.47199999999999998</v>
      </c>
      <c r="O53" s="5">
        <v>0.3</v>
      </c>
      <c r="P53" s="5"/>
      <c r="Q53" s="6"/>
      <c r="R53" s="5">
        <v>25.33</v>
      </c>
      <c r="S53" s="7">
        <f>T53*'Calculations &amp; Methodology'!D$16</f>
        <v>48587.692154520111</v>
      </c>
      <c r="T53" s="2">
        <v>52690</v>
      </c>
      <c r="U53" s="3">
        <v>3.3</v>
      </c>
      <c r="V53" s="5">
        <v>10.35</v>
      </c>
      <c r="W53" s="5">
        <v>19.87</v>
      </c>
      <c r="X53" s="5">
        <v>25.33</v>
      </c>
      <c r="Y53" s="5">
        <v>31.1</v>
      </c>
      <c r="Z53" s="5">
        <v>38.369999999999997</v>
      </c>
      <c r="AA53" s="2">
        <v>21530</v>
      </c>
      <c r="AB53" s="2">
        <v>41320</v>
      </c>
      <c r="AC53" s="2">
        <v>52690</v>
      </c>
      <c r="AD53" s="2">
        <v>64690</v>
      </c>
      <c r="AE53" s="2">
        <v>79800</v>
      </c>
      <c r="AF53" s="1" t="s">
        <v>43</v>
      </c>
      <c r="AG53" s="1" t="s">
        <v>43</v>
      </c>
      <c r="AH53" s="8">
        <f t="shared" si="1"/>
        <v>361911.21415452013</v>
      </c>
    </row>
    <row r="54" spans="1:34" x14ac:dyDescent="0.25">
      <c r="A54" t="s">
        <v>198</v>
      </c>
      <c r="B54" t="s">
        <v>199</v>
      </c>
      <c r="C54" s="1" t="s">
        <v>196</v>
      </c>
      <c r="D54" s="1" t="s">
        <v>200</v>
      </c>
      <c r="E54" t="s">
        <v>36</v>
      </c>
      <c r="F54" t="s">
        <v>37</v>
      </c>
      <c r="G54" t="s">
        <v>38</v>
      </c>
      <c r="H54" s="1" t="s">
        <v>39</v>
      </c>
      <c r="I54" s="1" t="s">
        <v>40</v>
      </c>
      <c r="J54" t="s">
        <v>41</v>
      </c>
      <c r="K54" s="1" t="s">
        <v>42</v>
      </c>
      <c r="L54" s="2">
        <v>30</v>
      </c>
      <c r="M54" s="3">
        <v>20.6</v>
      </c>
      <c r="N54" s="4">
        <v>0.96099999999999997</v>
      </c>
      <c r="O54" s="5">
        <v>0.61</v>
      </c>
      <c r="P54" s="5"/>
      <c r="Q54" s="6"/>
      <c r="R54" s="5">
        <v>49.14</v>
      </c>
      <c r="S54" s="7">
        <f>T54*'Calculations &amp; Methodology'!D$16</f>
        <v>94242.970927917166</v>
      </c>
      <c r="T54" s="2">
        <v>102200</v>
      </c>
      <c r="U54" s="3">
        <v>3.9</v>
      </c>
      <c r="V54" s="5">
        <v>27.27</v>
      </c>
      <c r="W54" s="5">
        <v>38.11</v>
      </c>
      <c r="X54" s="5">
        <v>48.07</v>
      </c>
      <c r="Y54" s="5">
        <v>51.79</v>
      </c>
      <c r="Z54" s="5">
        <v>66.36</v>
      </c>
      <c r="AA54" s="2">
        <v>56730</v>
      </c>
      <c r="AB54" s="2">
        <v>79260</v>
      </c>
      <c r="AC54" s="2">
        <v>99990</v>
      </c>
      <c r="AD54" s="2">
        <v>107710</v>
      </c>
      <c r="AE54" s="2">
        <v>138030</v>
      </c>
      <c r="AF54" s="1" t="s">
        <v>43</v>
      </c>
      <c r="AG54" s="1" t="s">
        <v>43</v>
      </c>
      <c r="AH54" s="8">
        <f t="shared" si="1"/>
        <v>678499.78192791715</v>
      </c>
    </row>
    <row r="55" spans="1:34" x14ac:dyDescent="0.25">
      <c r="L55" s="8">
        <f>SUM(L2:L54)</f>
        <v>241300</v>
      </c>
      <c r="M55" s="9">
        <f>SUM(M2:M54)</f>
        <v>308.8</v>
      </c>
      <c r="N55" s="10">
        <f>SUM(N2:N54)</f>
        <v>88.093999999999994</v>
      </c>
      <c r="O55" s="11">
        <f>SUM(O2:O54)</f>
        <v>55.54</v>
      </c>
      <c r="R55" s="11">
        <f>SUM(R2:R54)</f>
        <v>2472.0300000000002</v>
      </c>
      <c r="S55" s="12">
        <f>SUM(S2:S54)</f>
        <v>4741408.1302270023</v>
      </c>
      <c r="T55" s="8">
        <f>SUM(T2:T54)</f>
        <v>5141730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National Outpatient (Raw)</vt:lpstr>
      <vt:lpstr>Calculations &amp; Methodology</vt:lpstr>
      <vt:lpstr>State PT Wages - Cleaned</vt:lpstr>
      <vt:lpstr>State_Lookup_Key</vt:lpstr>
      <vt:lpstr>National All-Industry (Raw)</vt:lpstr>
      <vt:lpstr>State PT Wages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Markewicz</dc:creator>
  <cp:lastModifiedBy>Matt Markewicz</cp:lastModifiedBy>
  <dcterms:created xsi:type="dcterms:W3CDTF">2026-01-25T23:43:55Z</dcterms:created>
  <dcterms:modified xsi:type="dcterms:W3CDTF">2026-02-17T14:31:18Z</dcterms:modified>
</cp:coreProperties>
</file>